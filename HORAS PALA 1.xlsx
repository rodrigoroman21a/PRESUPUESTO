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ricasmining-my.sharepoint.com/personal/rroman_southernperu_com_pe/Documents/Escritorio/TUTORIAL/"/>
    </mc:Choice>
  </mc:AlternateContent>
  <xr:revisionPtr revIDLastSave="0" documentId="8_{FCCC9355-C32A-4F88-ADEC-27FCEA3B46BD}" xr6:coauthVersionLast="47" xr6:coauthVersionMax="47" xr10:uidLastSave="{00000000-0000-0000-0000-000000000000}"/>
  <bookViews>
    <workbookView xWindow="-120" yWindow="-120" windowWidth="51840" windowHeight="21120" firstSheet="1" activeTab="1" xr2:uid="{413F9116-1820-41B8-A1F4-A3F5FDC4F7CD}"/>
  </bookViews>
  <sheets>
    <sheet name="Relación Componentes PAT1" sheetId="1" state="hidden" r:id="rId1"/>
    <sheet name="BASE_COMPONENTES" sheetId="2" r:id="rId2"/>
    <sheet name="BASE_COSTOS" sheetId="3" r:id="rId3"/>
  </sheets>
  <definedNames>
    <definedName name="_xlnm._FilterDatabase" localSheetId="1" hidden="1">BASE_COMPONENTES!$B$1:$N$62</definedName>
    <definedName name="_xlnm._FilterDatabase" localSheetId="2" hidden="1">BASE_COSTOS!$A$1:$J$1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4" i="3" l="1"/>
  <c r="E9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<sst xmlns="http://schemas.openxmlformats.org/spreadsheetml/2006/main" count="1463" uniqueCount="307">
  <si>
    <t>SPCC</t>
  </si>
  <si>
    <t>SISTEMA</t>
  </si>
  <si>
    <t>NOMBRE COMPONENTE</t>
  </si>
  <si>
    <t>HORAS LÍMITE</t>
  </si>
  <si>
    <t>HORAS ACTUALES</t>
  </si>
  <si>
    <t>ÚLTIMO CAMBIO</t>
  </si>
  <si>
    <t>PRÓXIMO CAMBIO</t>
  </si>
  <si>
    <t>NÚMERO SERIE</t>
  </si>
  <si>
    <t>PAT1</t>
  </si>
  <si>
    <t>MANTENIMIENTO</t>
  </si>
  <si>
    <t>HRS. ACUMULADAS OVERHAUL</t>
  </si>
  <si>
    <t>JOY GLOBAL - 4100573765</t>
  </si>
  <si>
    <t>ASIENTO OPERADOR</t>
  </si>
  <si>
    <t>R93433F1-NUEVO JOY-4100552381</t>
  </si>
  <si>
    <t>SISTEMA DE EMPUJE</t>
  </si>
  <si>
    <t>CILINDRO DE ESCALERA RH</t>
  </si>
  <si>
    <t>29-dic-25</t>
  </si>
  <si>
    <t>NUEVO JOYGLOBAL R. 8435125</t>
  </si>
  <si>
    <t>CAJA DE EMPUJE</t>
  </si>
  <si>
    <t>18-ene-28</t>
  </si>
  <si>
    <t>CROTRAT202-TMMO-CARCASA NUEVA</t>
  </si>
  <si>
    <t>CILINDRO DE ESCALERA LH</t>
  </si>
  <si>
    <t>EJE DE EMPUJE - SHIPER SHAFT</t>
  </si>
  <si>
    <t>NUEVO JOY GLOBAL R 8434227</t>
  </si>
  <si>
    <t>ENGRANAJE DE EMPUJE</t>
  </si>
  <si>
    <t>NUEVO-JOYGLOBAL-R.8434227</t>
  </si>
  <si>
    <t>PIÑONES DE EMPUJE</t>
  </si>
  <si>
    <t>NUEVO JOY GLOBAL - R 8434227</t>
  </si>
  <si>
    <t>BRAZO DE CUCHARON</t>
  </si>
  <si>
    <t>HANDIPT201-USITEM</t>
  </si>
  <si>
    <t>MONTURA DERECHA</t>
  </si>
  <si>
    <t>SADBLOT205-KOMATSU</t>
  </si>
  <si>
    <t>MONTURA IZQUIERDA</t>
  </si>
  <si>
    <t>SADBLOT214-KOMATSU</t>
  </si>
  <si>
    <t>CUCHARON - PIN Y BUJE DE OREJA</t>
  </si>
  <si>
    <t>22-ene-27</t>
  </si>
  <si>
    <t>NUEVO-KMMP</t>
  </si>
  <si>
    <t>CUCHARON</t>
  </si>
  <si>
    <t>31-ago-26</t>
  </si>
  <si>
    <t>DIPPERT208</t>
  </si>
  <si>
    <t>CUCHARON - COMPUERTA</t>
  </si>
  <si>
    <t>28-abr-26</t>
  </si>
  <si>
    <t>DIPDOOT208-USITEM</t>
  </si>
  <si>
    <t>CUCHARON - BARRETON</t>
  </si>
  <si>
    <t>04-ago-26</t>
  </si>
  <si>
    <t>NUEVO-KOMATSU</t>
  </si>
  <si>
    <t>CUCHARON - ESPADA</t>
  </si>
  <si>
    <t>NUEVO -KOMATSU</t>
  </si>
  <si>
    <t>CUCHARON - FRENO DE COMPUERTA RH</t>
  </si>
  <si>
    <t>BRDIDOT258 - CASTECH</t>
  </si>
  <si>
    <t>CUCHARON - FRENO DE COMPUERTA LH</t>
  </si>
  <si>
    <t>BRDIDOT254 - CASTECH</t>
  </si>
  <si>
    <t>FRENO DE EMPUJE</t>
  </si>
  <si>
    <t>17-abr-25</t>
  </si>
  <si>
    <t xml:space="preserve"> CROBRAT201-TMMO</t>
  </si>
  <si>
    <t>FAJAS DE EMPUJE</t>
  </si>
  <si>
    <t>NUEVO</t>
  </si>
  <si>
    <t>SISTEMA DE GIRO</t>
  </si>
  <si>
    <t>CAJA DE GIRO DELANTERO</t>
  </si>
  <si>
    <t>SWITRAT200-TMMO</t>
  </si>
  <si>
    <t>CAJA DE GIRO POSTERIOR</t>
  </si>
  <si>
    <t>01-abr-24</t>
  </si>
  <si>
    <t>21-ene-28</t>
  </si>
  <si>
    <t>SWITRAT207-TMMO</t>
  </si>
  <si>
    <t>EJE DE GIRO DELANTERO</t>
  </si>
  <si>
    <t>04-abr-25</t>
  </si>
  <si>
    <t>22-dic-28</t>
  </si>
  <si>
    <t>SHASWIT208-TMMO</t>
  </si>
  <si>
    <t>EJE DE GIRO POSTERIOR</t>
  </si>
  <si>
    <t>SHASWIT288 JOYGLOBAL4100555988</t>
  </si>
  <si>
    <t>FRENO DE GIRO DELANTERO</t>
  </si>
  <si>
    <t>BRASWIT201-TMMO</t>
  </si>
  <si>
    <t>FRENO DE GIRO POSTERIOR</t>
  </si>
  <si>
    <t>BRASWIT202</t>
  </si>
  <si>
    <t>PIN CENTRAL DE TORNAMESA</t>
  </si>
  <si>
    <t>NUEVO JOY GLOBAL 4100540786</t>
  </si>
  <si>
    <t>RODILLOS DE TORNAMESA</t>
  </si>
  <si>
    <t>NUEVO JOYGLOBAL 4100540786</t>
  </si>
  <si>
    <t>ENGRANAJE DE TORNAMEZA</t>
  </si>
  <si>
    <t>NUEVO JOY GLOBAL - 4100540769</t>
  </si>
  <si>
    <t>AJUSTE TUERCA PIN CENTRAL</t>
  </si>
  <si>
    <t>23-abr-25</t>
  </si>
  <si>
    <t>INSP. DE  AJUSTE TUERCA PIN CENTRAL</t>
  </si>
  <si>
    <t>SISTEMA DE IZAR</t>
  </si>
  <si>
    <t>CAJA DE IZAR</t>
  </si>
  <si>
    <t>HOIGEAT211-TMMO</t>
  </si>
  <si>
    <t>BOMBA ACEITE CAJA IZAR</t>
  </si>
  <si>
    <t>HOIPUMT212 - KMC</t>
  </si>
  <si>
    <t>TAMBOR DE IZAR</t>
  </si>
  <si>
    <t>DRUHOIT203 -JOY GLOBAL 4100519354</t>
  </si>
  <si>
    <t>RETENES DE TAMBOR DE IZAR</t>
  </si>
  <si>
    <t>NUEVO JOY 4100519354</t>
  </si>
  <si>
    <t>PLUMA</t>
  </si>
  <si>
    <t>BOOMT203 USITEM</t>
  </si>
  <si>
    <t>POLEAS DE PLUMA</t>
  </si>
  <si>
    <t>07-ago-28</t>
  </si>
  <si>
    <t>SHEBOOT238-239</t>
  </si>
  <si>
    <t>CABLES DE SUSPENSION</t>
  </si>
  <si>
    <t>27-dic-25</t>
  </si>
  <si>
    <t>BOSUCAT228 -NUEVO-KOMATSU</t>
  </si>
  <si>
    <t>CABLES DE IZAR</t>
  </si>
  <si>
    <t>NUEVO - R:11107752</t>
  </si>
  <si>
    <t>FRENO DE IZAR DELANTERO</t>
  </si>
  <si>
    <t>BRAHOIT214</t>
  </si>
  <si>
    <t>FRENO DE IZAR POSTERIOR</t>
  </si>
  <si>
    <t>BRAHOIT222</t>
  </si>
  <si>
    <t>SISTEMA DE LUBRICACIÓN</t>
  </si>
  <si>
    <t>BOMBA DE GRASA 1 GBLANCA UP</t>
  </si>
  <si>
    <t>08-abr-26</t>
  </si>
  <si>
    <t>NUEVO - R.8668517 (S1TO)</t>
  </si>
  <si>
    <t>BOMBA DE GRASA 2 GBLANCA LOW</t>
  </si>
  <si>
    <t>BOMBA DE GRASA 3 GNEGRA</t>
  </si>
  <si>
    <t>25-abr-26</t>
  </si>
  <si>
    <t>03-ene-28</t>
  </si>
  <si>
    <t>BOMBA-REP</t>
  </si>
  <si>
    <t>SISTEMA DE PROPULSIÓN</t>
  </si>
  <si>
    <t>CAJA DE AVANCE DERECHA</t>
  </si>
  <si>
    <t>TRAPROT219 - 4100514718</t>
  </si>
  <si>
    <t>CAJA DE AVANCE IZQUIERDA</t>
  </si>
  <si>
    <t>TRAPROT203-TMMO</t>
  </si>
  <si>
    <t>FRENO DE AVANCE DERECHO</t>
  </si>
  <si>
    <t>BRAPROT232 - TMMO</t>
  </si>
  <si>
    <t>FRENO DE AVANCE IZQUIERDO</t>
  </si>
  <si>
    <t>BRAPROT233 - TMMO</t>
  </si>
  <si>
    <t>TUMBLER DERECHO</t>
  </si>
  <si>
    <t>20-dic-25</t>
  </si>
  <si>
    <t>TUMDRIT229-USITEM</t>
  </si>
  <si>
    <t>TUMBLER IZQUIERDO</t>
  </si>
  <si>
    <t>TUMDRIT250 410054079 JOY GLOBAL</t>
  </si>
  <si>
    <t>EJE DE AVANCE DERECHO</t>
  </si>
  <si>
    <t>SHTUDRT278-KOMATSU</t>
  </si>
  <si>
    <t>EJE DE AVANCE IZQUIERDO</t>
  </si>
  <si>
    <t>SHTUDRT270-NUEVO KMMP</t>
  </si>
  <si>
    <t>RUEDA GUIA DERECHA</t>
  </si>
  <si>
    <t>ROLIDLT234 - TMMO</t>
  </si>
  <si>
    <t>RUEDA GUIA IZQUIERDO</t>
  </si>
  <si>
    <t>04-dic-26</t>
  </si>
  <si>
    <t>ROLIDLT244-TMMO</t>
  </si>
  <si>
    <t>RODILLOS BASTIDOR DERECHO</t>
  </si>
  <si>
    <t>NUEVO 4100540797 JOY GLOBAL</t>
  </si>
  <si>
    <t>RODILLOS BASTIDOR IZQUIERDO</t>
  </si>
  <si>
    <t>4100540797 NUEVO JOY GLOBAL</t>
  </si>
  <si>
    <t>RODILLO AUXILIAR DERECHO</t>
  </si>
  <si>
    <t>RODILLO AUXILIAR IZQUIERDO</t>
  </si>
  <si>
    <t>ZAPATAS DE BASTIDOR DERECHO</t>
  </si>
  <si>
    <t>TRACRAT246-NUEVO JOYGLOBAL R. 7986153</t>
  </si>
  <si>
    <t>ZAPATAS DE BASTIDOR IZQUIERDO</t>
  </si>
  <si>
    <t>TRACRAT247 NUEVO JOYGLOBA R. 7986150</t>
  </si>
  <si>
    <t>SISTEMA NEUMATICO</t>
  </si>
  <si>
    <t>COMPRESOR DE AIRE</t>
  </si>
  <si>
    <t>AIRCOMT229 - SULLAIR - R 7845974</t>
  </si>
  <si>
    <t>REPORTE COMPONENTES PAT1</t>
  </si>
  <si>
    <t>FLOTA</t>
  </si>
  <si>
    <t>NOMBRE_COMPONENTE</t>
  </si>
  <si>
    <t>HORAS_LIMITE</t>
  </si>
  <si>
    <t>HORAS_ACTUALES</t>
  </si>
  <si>
    <t>ULTIMO_CAMBIO</t>
  </si>
  <si>
    <t>PROXIMO_CAMBIO</t>
  </si>
  <si>
    <t>NUMERO_SERIE</t>
  </si>
  <si>
    <t>ITEM_MANTENIBLE</t>
  </si>
  <si>
    <t>COSTO_REPARACION</t>
  </si>
  <si>
    <t>PROVEEDOR</t>
  </si>
  <si>
    <t>EQUIPO</t>
  </si>
  <si>
    <t>4100A</t>
  </si>
  <si>
    <t>CODIGO_COMPONENTE</t>
  </si>
  <si>
    <t>COMENTARIOS</t>
  </si>
  <si>
    <t>SI</t>
  </si>
  <si>
    <t>NO</t>
  </si>
  <si>
    <t>OPCION_COMPONENTE</t>
  </si>
  <si>
    <t>REPARAR</t>
  </si>
  <si>
    <t>REPARAR_O_NUEVO</t>
  </si>
  <si>
    <t>R93433F1</t>
  </si>
  <si>
    <t>CROTRAT202</t>
  </si>
  <si>
    <t>HANDIPT201</t>
  </si>
  <si>
    <t>SADBLOT205</t>
  </si>
  <si>
    <t>SADBLOT214</t>
  </si>
  <si>
    <t>DIPDOOT208</t>
  </si>
  <si>
    <t>BRDIDOT258</t>
  </si>
  <si>
    <t>BRDIDOT254</t>
  </si>
  <si>
    <t>CROBRAT201</t>
  </si>
  <si>
    <t>SWITRAT200</t>
  </si>
  <si>
    <t>SWITRAT207</t>
  </si>
  <si>
    <t>SHASWIT208</t>
  </si>
  <si>
    <t>SHASWIT288</t>
  </si>
  <si>
    <t>BRASWIT201</t>
  </si>
  <si>
    <t>HOIGEAT211</t>
  </si>
  <si>
    <t>HOIPUMT212</t>
  </si>
  <si>
    <t>DRUHOIT203</t>
  </si>
  <si>
    <t>BOOMT203</t>
  </si>
  <si>
    <t>BOSUCAT228</t>
  </si>
  <si>
    <t>TRAPROT219</t>
  </si>
  <si>
    <t>TRAPROT203</t>
  </si>
  <si>
    <t>BRAPROT232</t>
  </si>
  <si>
    <t>BRAPROT233</t>
  </si>
  <si>
    <t>TUMDRIT229</t>
  </si>
  <si>
    <t>TUMDRIT250</t>
  </si>
  <si>
    <t>SHTUDRT278</t>
  </si>
  <si>
    <t>SHTUDRT270</t>
  </si>
  <si>
    <t>ROLIDLT234</t>
  </si>
  <si>
    <t>ROLIDLT244</t>
  </si>
  <si>
    <t>TRACRAT246</t>
  </si>
  <si>
    <t>TRACRAT247</t>
  </si>
  <si>
    <t>AIRCOMT229</t>
  </si>
  <si>
    <t>ID_COMPONENTE</t>
  </si>
  <si>
    <t>HRS_ACUM_OVERHAUL</t>
  </si>
  <si>
    <t>CIL_ESCALERA_RH</t>
  </si>
  <si>
    <t>CIL_ESCALERA_LH</t>
  </si>
  <si>
    <t>EJE_EMPUJE_SHIPER_SHAFT</t>
  </si>
  <si>
    <t>ENGRANAJE_EMPUJE</t>
  </si>
  <si>
    <t>PINIONES_EMPUJE</t>
  </si>
  <si>
    <t>CUCHARON_PIN_BUJE_OREJA</t>
  </si>
  <si>
    <t>CUCHARON_BARRETON</t>
  </si>
  <si>
    <t>CUCHARON_ESPADA</t>
  </si>
  <si>
    <t>FAJAS_EMPUJE</t>
  </si>
  <si>
    <t>PIN_CENTRAL_TORNAMESA</t>
  </si>
  <si>
    <t>RODILLOS_TORNAMESA</t>
  </si>
  <si>
    <t>ENGRANAJE_TORNAMESA</t>
  </si>
  <si>
    <t>AJUSTE_TUERCA_PIN_CENTRAL</t>
  </si>
  <si>
    <t>INSP_AJUSTE_TUERCA_PIN_CENTRAL</t>
  </si>
  <si>
    <t>RETENES_TAMBOR_IZAR</t>
  </si>
  <si>
    <t>CABLES_IZAR</t>
  </si>
  <si>
    <t>BOMBA_GRASA_1_GBLANCA_UP</t>
  </si>
  <si>
    <t>BOMBA_GRASA_2_GBLANCA_LOW</t>
  </si>
  <si>
    <t>RODILLOS_BASTIDOR_DERECHO</t>
  </si>
  <si>
    <t>RODILLOS_BASTIDOR_IZQUIERDO</t>
  </si>
  <si>
    <t>RODILLO_AUXILIAR_DERECHO</t>
  </si>
  <si>
    <t>RODILLO_AUXILIAR_IZQUIERDO</t>
  </si>
  <si>
    <t>REPARADO</t>
  </si>
  <si>
    <t>KOMATSU</t>
  </si>
  <si>
    <t>AC</t>
  </si>
  <si>
    <t>LEAD_TIME_COMPRA_DIAS</t>
  </si>
  <si>
    <t>TIEMPO_REPARACION_DIAS</t>
  </si>
  <si>
    <t>TIPO_REPARACION</t>
  </si>
  <si>
    <t>CLASE_COSTO_REP_EXTERNA</t>
  </si>
  <si>
    <t>DESC_CLASE_COSTO_REP_EXTERNA</t>
  </si>
  <si>
    <t>CLASE_COSTO_REP_INTERNA</t>
  </si>
  <si>
    <t>DESC_CLASE_COSTO_REP_INTERNA</t>
  </si>
  <si>
    <t>INTERNA</t>
  </si>
  <si>
    <t>REP EQUIPO FUERA UNIDAD</t>
  </si>
  <si>
    <t>72504416 SERVICIOS CONTRATISTAS REPARACION</t>
  </si>
  <si>
    <t>REFACCCIONES  PARA  MAQ PESADA</t>
  </si>
  <si>
    <t>EXTERNA</t>
  </si>
  <si>
    <t>COSTO_COMPONENTE_NUEVO</t>
  </si>
  <si>
    <t>COSTO_MATERIAL_REP_INTERNA</t>
  </si>
  <si>
    <t>CLASE_COSTO_COMPONENTE_NUEVO</t>
  </si>
  <si>
    <t>DESC_CLASE_COSTO_COMPONENTE_NUEVO</t>
  </si>
  <si>
    <t>CLASE_COSTO_MATERIAL_REP_INTERNA</t>
  </si>
  <si>
    <t>DESC_CLASE_COSTO_MATERIAL_REP_INTERNA</t>
  </si>
  <si>
    <t>PAT4</t>
  </si>
  <si>
    <t>04-dic-24</t>
  </si>
  <si>
    <t>EJE DE EMPUJE - SHIPER SHAFT (PN: R3989D2/R3989D3)</t>
  </si>
  <si>
    <t>BRAZOS DE EMPUJE</t>
  </si>
  <si>
    <t>28-ene-27</t>
  </si>
  <si>
    <t>FRENO DE COMPUERTA DERECHO</t>
  </si>
  <si>
    <t>FRENO DE COMPUERTA IZQUIERDO</t>
  </si>
  <si>
    <t>15-abr-26</t>
  </si>
  <si>
    <t>29-abr-27</t>
  </si>
  <si>
    <t>BRASWIT235</t>
  </si>
  <si>
    <t>INSP. DE AJUSTE TUERCA PIN CENTRAL</t>
  </si>
  <si>
    <t>08-ene-25</t>
  </si>
  <si>
    <t>06-ene-24</t>
  </si>
  <si>
    <t>30-abr-26</t>
  </si>
  <si>
    <t>FRENO DE IZAR POSTERIOR (</t>
  </si>
  <si>
    <t>25-ene-26</t>
  </si>
  <si>
    <t>TRAPROT201</t>
  </si>
  <si>
    <t>24-ene-23</t>
  </si>
  <si>
    <t>07-dic-28</t>
  </si>
  <si>
    <t>18-dic-24</t>
  </si>
  <si>
    <t>31-dic-25</t>
  </si>
  <si>
    <t>AIRCOMT224</t>
  </si>
  <si>
    <t>ASIENTO_OPERADOR</t>
  </si>
  <si>
    <t>CROTRAT201</t>
  </si>
  <si>
    <t>CILINDRO_ESCALERA_RH</t>
  </si>
  <si>
    <t>CILINDRO_ESCALERA_LH</t>
  </si>
  <si>
    <t>HANDIPT200</t>
  </si>
  <si>
    <t>SADBLOT202</t>
  </si>
  <si>
    <t>SADBLOT203</t>
  </si>
  <si>
    <t>DIPPERT201</t>
  </si>
  <si>
    <t>DIPDOOT201</t>
  </si>
  <si>
    <t>BRDIDOT274</t>
  </si>
  <si>
    <t>BRDIDOT275</t>
  </si>
  <si>
    <t>CROBRAT207</t>
  </si>
  <si>
    <t>SWITRAT220</t>
  </si>
  <si>
    <t>SWITRAT206</t>
  </si>
  <si>
    <t>SHASWIT254</t>
  </si>
  <si>
    <t>SHASWIT202</t>
  </si>
  <si>
    <t>BRASWIT228</t>
  </si>
  <si>
    <t>HOIGEAT201</t>
  </si>
  <si>
    <t>BOMBA_ACEITE_CAJA_IZAR</t>
  </si>
  <si>
    <t>DRUHOIT200</t>
  </si>
  <si>
    <t>BOOMT201</t>
  </si>
  <si>
    <t>SHEBOOT220-221</t>
  </si>
  <si>
    <t>BOSUCAT221</t>
  </si>
  <si>
    <t>BRAHOIT221</t>
  </si>
  <si>
    <t>BOMBA_GRASA_3_GNEGRA</t>
  </si>
  <si>
    <t>FRACRAT225</t>
  </si>
  <si>
    <t>ZAPATAS_BASTIDOR_DERECHO</t>
  </si>
  <si>
    <t>ZAPATAS_BASTIDOR_IZQUIERDO</t>
  </si>
  <si>
    <t>TRAPROT206</t>
  </si>
  <si>
    <t>BRAPROT216</t>
  </si>
  <si>
    <t>BRAPROT203</t>
  </si>
  <si>
    <t>TUMDRIT203</t>
  </si>
  <si>
    <t>TUMDRIT224</t>
  </si>
  <si>
    <t>SHTUDRT265</t>
  </si>
  <si>
    <t>SHTUDRT266</t>
  </si>
  <si>
    <t>RUEDA_GUIA_DERECHA</t>
  </si>
  <si>
    <t>ROLIDLT249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</si>
</sst>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C09]#,##0.00"/>
    <numFmt numFmtId="165" formatCode="_-[$$-409]* #,##0.00_ ;_-[$$-409]* \-#,##0.00\ ;_-[$$-409]* &quot;-&quot;??_ ;_-@_ 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Courier"/>
    </font>
    <font>
      <sz val="11"/>
      <color rgb="FFFF0000"/>
      <name val="Courier"/>
    </font>
    <font>
      <b/>
      <sz val="22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0"/>
      <color theme="1"/>
      <name val="Arial Unicode MS"/>
      <family val="2"/>
    </font>
    <font>
      <sz val="10"/>
      <name val="Arial"/>
      <family val="2"/>
    </font>
    <font>
      <sz val="12"/>
      <color theme="1"/>
      <name val="Times New Roman"/>
      <family val="2"/>
    </font>
    <font>
      <sz val="11"/>
      <color theme="1"/>
      <name val="Aptos Display"/>
      <family val="2"/>
      <scheme val="major"/>
    </font>
    <font>
      <sz val="11"/>
      <color rgb="FFFF000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indexed="64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94">
    <xf numFmtId="0" fontId="0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</cellStyleXfs>
  <cellXfs count="34">
    <xf numFmtId="0" fontId="0" fillId="0" borderId="0" xfId="0"/>
    <xf numFmtId="0" fontId="3" fillId="0" borderId="4" xfId="0" applyFont="1" applyBorder="1" applyAlignment="1">
      <alignment horizontal="center"/>
    </xf>
    <xf numFmtId="15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5" fontId="3" fillId="0" borderId="8" xfId="0" applyNumberFormat="1" applyFont="1" applyBorder="1" applyAlignment="1">
      <alignment horizontal="center"/>
    </xf>
    <xf numFmtId="0" fontId="2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4" fillId="0" borderId="5" xfId="0" applyFont="1" applyBorder="1"/>
    <xf numFmtId="0" fontId="3" fillId="0" borderId="8" xfId="0" applyFont="1" applyBorder="1"/>
    <xf numFmtId="0" fontId="3" fillId="0" borderId="9" xfId="0" applyFont="1" applyBorder="1"/>
    <xf numFmtId="0" fontId="0" fillId="2" borderId="0" xfId="0" applyFill="1"/>
    <xf numFmtId="164" fontId="6" fillId="0" borderId="10" xfId="0" applyNumberFormat="1" applyFont="1" applyBorder="1"/>
    <xf numFmtId="0" fontId="6" fillId="0" borderId="11" xfId="0" applyFont="1" applyBorder="1"/>
    <xf numFmtId="164" fontId="7" fillId="0" borderId="10" xfId="0" applyNumberFormat="1" applyFont="1" applyBorder="1"/>
    <xf numFmtId="165" fontId="8" fillId="0" borderId="10" xfId="0" applyNumberFormat="1" applyFont="1" applyBorder="1" applyAlignment="1">
      <alignment horizontal="center" vertical="center"/>
    </xf>
    <xf numFmtId="0" fontId="2" fillId="0" borderId="10" xfId="0" applyFont="1" applyBorder="1"/>
    <xf numFmtId="0" fontId="0" fillId="0" borderId="10" xfId="0" applyBorder="1"/>
    <xf numFmtId="0" fontId="6" fillId="0" borderId="10" xfId="0" applyFont="1" applyBorder="1"/>
    <xf numFmtId="0" fontId="0" fillId="2" borderId="10" xfId="0" applyFill="1" applyBorder="1"/>
    <xf numFmtId="164" fontId="6" fillId="0" borderId="12" xfId="0" applyNumberFormat="1" applyFont="1" applyBorder="1"/>
    <xf numFmtId="0" fontId="5" fillId="0" borderId="0" xfId="0" applyFont="1" applyAlignment="1">
      <alignment horizontal="center" vertical="center"/>
    </xf>
    <xf numFmtId="0" fontId="0" fillId="0" borderId="0" xfId="0"/>
    <xf numFmtId="0" fontId="11" fillId="3" borderId="10" xfId="0" applyFont="1" applyFill="1" applyBorder="1"/>
    <xf numFmtId="0" fontId="11" fillId="3" borderId="10" xfId="0" applyFont="1" applyFill="1" applyBorder="1" applyAlignment="1"/>
    <xf numFmtId="0" fontId="11" fillId="3" borderId="10" xfId="0" applyFont="1" applyFill="1" applyBorder="1" applyAlignment="1">
      <alignment horizontal="center"/>
    </xf>
    <xf numFmtId="15" fontId="11" fillId="3" borderId="10" xfId="0" applyNumberFormat="1" applyFont="1" applyFill="1" applyBorder="1" applyAlignment="1">
      <alignment horizontal="center"/>
    </xf>
    <xf numFmtId="0" fontId="12" fillId="3" borderId="10" xfId="0" applyFont="1" applyFill="1" applyBorder="1" applyAlignment="1"/>
    <xf numFmtId="0" fontId="11" fillId="3" borderId="10" xfId="0" applyFont="1" applyFill="1" applyBorder="1" applyAlignment="1">
      <alignment vertical="center" wrapText="1"/>
    </xf>
    <xf numFmtId="0" fontId="12" fillId="3" borderId="10" xfId="0" applyFont="1" applyFill="1" applyBorder="1"/>
  </cellXfs>
  <cellStyles count="94">
    <cellStyle name="Normal" xfId="0" builtinId="0"/>
    <cellStyle name="Normal 10" xfId="11" xr:uid="{EAA1EFF0-AD9E-4DD5-9F79-F55A82785F4B}"/>
    <cellStyle name="Normal 10 2" xfId="30" xr:uid="{A81E5D68-0BC7-4D15-87C9-1D6E3A1A7EFE}"/>
    <cellStyle name="Normal 10 2 2" xfId="90" xr:uid="{16EB5C23-0761-40C5-8B16-EEA80C146B92}"/>
    <cellStyle name="Normal 11" xfId="19" xr:uid="{1C3A782C-A36F-44D2-B625-8D2BAEC2FC66}"/>
    <cellStyle name="Normal 11 2" xfId="37" xr:uid="{842CD25A-064B-41DC-83A6-D77FC5B66671}"/>
    <cellStyle name="Normal 12" xfId="20" xr:uid="{5FE8F035-79CF-4694-8018-DE0618BFA41D}"/>
    <cellStyle name="Normal 12 2" xfId="38" xr:uid="{40F01D2C-7CFE-4509-B0EE-9B4E62C756AC}"/>
    <cellStyle name="Normal 13" xfId="21" xr:uid="{F7E407DA-A101-4A25-BA1F-7E1C84BFDE37}"/>
    <cellStyle name="Normal 13 2" xfId="39" xr:uid="{3D7AAE1C-264E-421F-9A07-2671DAF5EF91}"/>
    <cellStyle name="Normal 14" xfId="22" xr:uid="{3F4B33AB-939B-4269-A8E2-5DFB1F4B3CD2}"/>
    <cellStyle name="Normal 14 2" xfId="40" xr:uid="{0B9D8C64-0BF2-4777-B60C-FD4CC6FCCDE2}"/>
    <cellStyle name="Normal 15" xfId="41" xr:uid="{9E2AE6E2-8C2B-423A-8019-2248FE1765FE}"/>
    <cellStyle name="Normal 16" xfId="42" xr:uid="{7935F1CA-7B04-4BE8-B4E6-BA0DFBB3CDD0}"/>
    <cellStyle name="Normal 17" xfId="43" xr:uid="{DC085A34-6440-4879-B28F-571BFE138798}"/>
    <cellStyle name="Normal 18" xfId="44" xr:uid="{2425630A-1805-4642-BA8D-EF5B9A6D09BC}"/>
    <cellStyle name="Normal 19" xfId="45" xr:uid="{37734C60-E70D-425A-BA3A-06E83365024D}"/>
    <cellStyle name="Normal 2" xfId="2" xr:uid="{92208848-193D-409E-8CDA-933781FB8784}"/>
    <cellStyle name="Normal 2 2" xfId="5" xr:uid="{FE512B99-D7D2-4BA5-BECE-340D769997FE}"/>
    <cellStyle name="Normal 2 3" xfId="1" xr:uid="{D41D5CA0-4B5F-4785-A7A0-80F82FD2E627}"/>
    <cellStyle name="Normal 2 3 3" xfId="92" xr:uid="{432142E0-E88C-45F8-A04E-CAB41B30C3FE}"/>
    <cellStyle name="Normal 2 4" xfId="74" xr:uid="{DB6336E3-E755-41BF-B175-B65F07A2E7C7}"/>
    <cellStyle name="Normal 2 5" xfId="76" xr:uid="{C377B5BB-B209-4D24-A95D-37FD82EAA08F}"/>
    <cellStyle name="Normal 2 6" xfId="78" xr:uid="{42EA5CEC-73E5-4ECD-BA64-B9BFA7501A21}"/>
    <cellStyle name="Normal 2 7" xfId="80" xr:uid="{2EFCDDAB-DB55-41DC-86BD-41B56EC5665B}"/>
    <cellStyle name="Normal 20" xfId="46" xr:uid="{822A455D-6090-4110-9298-369F69F6C068}"/>
    <cellStyle name="Normal 21" xfId="47" xr:uid="{0D3FDC40-F672-4487-8EA2-73B9CBDA495A}"/>
    <cellStyle name="Normal 22" xfId="48" xr:uid="{A5329966-B98E-437F-A15D-2BD090F4951F}"/>
    <cellStyle name="Normal 23" xfId="49" xr:uid="{CE8E6E1F-237A-4B31-A16C-ABB01BC231B4}"/>
    <cellStyle name="Normal 24" xfId="50" xr:uid="{4D95F255-C8E8-4FD7-A29A-34F490B2622C}"/>
    <cellStyle name="Normal 25" xfId="51" xr:uid="{CC7A7AB1-91E5-4A6B-992E-C263FE264E57}"/>
    <cellStyle name="Normal 26" xfId="52" xr:uid="{7D99D1E6-625C-4F58-B16C-87EE7B9CA2ED}"/>
    <cellStyle name="Normal 27" xfId="53" xr:uid="{6D7C0BD8-721A-47EC-83B7-8B4DD3481EB1}"/>
    <cellStyle name="Normal 28" xfId="54" xr:uid="{95D2DD9D-5FC2-45DF-BAA7-6E671249A070}"/>
    <cellStyle name="Normal 29" xfId="55" xr:uid="{2E3106E9-350A-4E47-A63E-7634F7B5E6B4}"/>
    <cellStyle name="Normal 3" xfId="3" xr:uid="{DED46DB4-9CC0-4ECD-ADDC-495F0651A999}"/>
    <cellStyle name="Normal 3 2" xfId="13" xr:uid="{0B5E7471-351D-4D3F-B05A-A0EDE85A2B70}"/>
    <cellStyle name="Normal 3 2 2" xfId="31" xr:uid="{496FCD1F-BC14-4D9D-B62B-DA39EE35D612}"/>
    <cellStyle name="Normal 3 3" xfId="4" xr:uid="{3EBFDB95-EC4C-49E8-9DF2-DEBD2CCF1890}"/>
    <cellStyle name="Normal 3 4" xfId="24" xr:uid="{8A5EA273-0D72-4A48-8601-A51E5280C5A7}"/>
    <cellStyle name="Normal 30" xfId="56" xr:uid="{1237702E-730A-4097-914D-90F9B79E4AA1}"/>
    <cellStyle name="Normal 31" xfId="57" xr:uid="{B94FF5EA-4457-44D1-8C1C-872F9F773F54}"/>
    <cellStyle name="Normal 32" xfId="58" xr:uid="{2E282492-453A-4265-9F34-445960C9EFBC}"/>
    <cellStyle name="Normal 33" xfId="59" xr:uid="{813671BE-2371-46FE-A09B-58ABFE6230B2}"/>
    <cellStyle name="Normal 34" xfId="60" xr:uid="{408DE926-C71F-4695-B65F-E5B797010EC3}"/>
    <cellStyle name="Normal 35" xfId="61" xr:uid="{3385BA0C-490E-4E2E-9C9F-AD373EA2B265}"/>
    <cellStyle name="Normal 36" xfId="62" xr:uid="{B5FBBC6C-F566-4A26-B4B7-2D414A3B2BCF}"/>
    <cellStyle name="Normal 37" xfId="63" xr:uid="{3E9BB070-A63C-4098-A8A6-EEAE3E56D1D6}"/>
    <cellStyle name="Normal 38" xfId="64" xr:uid="{FD353C88-3A7B-4919-8C8F-C774A2288A10}"/>
    <cellStyle name="Normal 39" xfId="65" xr:uid="{A7071053-CDBB-46A7-815E-7301CD8BE919}"/>
    <cellStyle name="Normal 4" xfId="6" xr:uid="{F7B30305-8C02-4612-8201-5960E7A0AA66}"/>
    <cellStyle name="Normal 4 2" xfId="14" xr:uid="{E3867898-3FB4-41B3-A230-D22BDC4ADC9F}"/>
    <cellStyle name="Normal 4 2 2" xfId="32" xr:uid="{F9AE2518-5733-4209-A9F2-2E1C7167820B}"/>
    <cellStyle name="Normal 4 3" xfId="25" xr:uid="{DB263D53-DDBA-44DD-8F80-E40C797EABD9}"/>
    <cellStyle name="Normal 4 4" xfId="93" xr:uid="{CCDAC160-CA14-4643-9BCC-3769124015BD}"/>
    <cellStyle name="Normal 40" xfId="66" xr:uid="{A2F2F823-99CC-400A-B978-9D4EC2461616}"/>
    <cellStyle name="Normal 41" xfId="67" xr:uid="{510F81CF-C079-4EBC-AF31-08154A7F7872}"/>
    <cellStyle name="Normal 42" xfId="68" xr:uid="{7F05A5D4-5A8A-4334-BBA0-D4C8493F9C97}"/>
    <cellStyle name="Normal 43" xfId="69" xr:uid="{7EEB4077-8BF3-414D-8F91-11620276D741}"/>
    <cellStyle name="Normal 44" xfId="70" xr:uid="{F3626019-F202-4213-BFBD-265C9EDF7606}"/>
    <cellStyle name="Normal 45" xfId="71" xr:uid="{733EFAE0-6EA8-461E-8E3B-FF7899AAEC44}"/>
    <cellStyle name="Normal 46" xfId="23" xr:uid="{1FD82847-6A84-4642-BE1B-6D112E6E4AAA}"/>
    <cellStyle name="Normal 46 2" xfId="72" xr:uid="{84E1D7A9-F502-4910-A360-17661CCBEA0A}"/>
    <cellStyle name="Normal 47" xfId="73" xr:uid="{0D8325EC-5C2A-4D59-B0EA-BEB60CD14E0C}"/>
    <cellStyle name="Normal 48" xfId="75" xr:uid="{91939D64-D2F1-4AEF-AD53-D54B905E8513}"/>
    <cellStyle name="Normal 49" xfId="77" xr:uid="{8B20E290-C9AE-4181-B276-A4AB8475C298}"/>
    <cellStyle name="Normal 5" xfId="7" xr:uid="{D330D449-100A-46FC-AE67-D44B19CA4DFA}"/>
    <cellStyle name="Normal 5 2" xfId="15" xr:uid="{E767FEC4-76F6-45C2-A6BF-B1B34C21EE5A}"/>
    <cellStyle name="Normal 5 2 2" xfId="33" xr:uid="{C5564133-A3B8-4D00-8F08-485D22968250}"/>
    <cellStyle name="Normal 5 3" xfId="26" xr:uid="{27058F39-8C1F-403E-859D-6F9BE3587283}"/>
    <cellStyle name="Normal 50" xfId="79" xr:uid="{021550CB-7C87-4CC8-82DD-85FF0D787035}"/>
    <cellStyle name="Normal 51" xfId="81" xr:uid="{462EF142-B23E-43AB-8B14-C5F177ED2708}"/>
    <cellStyle name="Normal 52" xfId="82" xr:uid="{DD8E0DEA-13E6-4C28-AAB0-30B3EF0DEA92}"/>
    <cellStyle name="Normal 53" xfId="83" xr:uid="{F68230E5-9C38-4B77-8F91-04E27B201AF7}"/>
    <cellStyle name="Normal 54" xfId="84" xr:uid="{EA44A520-8567-4637-A7CE-2A870CB2302F}"/>
    <cellStyle name="Normal 55" xfId="85" xr:uid="{5EB16CC2-FC2D-490C-9CD4-2A8E2B57EF42}"/>
    <cellStyle name="Normal 56" xfId="86" xr:uid="{B931A983-CBAB-4FAD-8308-A5ACACEEC70A}"/>
    <cellStyle name="Normal 57" xfId="87" xr:uid="{0D72ED23-7AEB-4D7B-AC3C-B25EAD26B386}"/>
    <cellStyle name="Normal 58" xfId="88" xr:uid="{C5E1F14C-1F20-4FD1-AE51-F394899A408C}"/>
    <cellStyle name="Normal 59" xfId="89" xr:uid="{4426ABFB-9E29-42B3-B837-BCB3B1C7BF2E}"/>
    <cellStyle name="Normal 6" xfId="8" xr:uid="{A57E8120-2784-4761-BC61-28C50849D279}"/>
    <cellStyle name="Normal 6 2" xfId="16" xr:uid="{C01ABA31-D148-453D-9849-E27CCD6566F5}"/>
    <cellStyle name="Normal 6 2 2" xfId="34" xr:uid="{ED071238-AC78-4347-B878-3B0A22BB9F5F}"/>
    <cellStyle name="Normal 6 3" xfId="27" xr:uid="{B09D2B4F-F397-42A8-94FF-5A713CCD232B}"/>
    <cellStyle name="Normal 60" xfId="91" xr:uid="{F97448F1-F83B-4081-A64E-EA26EAC7A6D3}"/>
    <cellStyle name="Normal 7" xfId="9" xr:uid="{80255DE3-E01A-4AF6-8528-A2B23C16C6BC}"/>
    <cellStyle name="Normal 7 2" xfId="17" xr:uid="{A366FB4A-B852-4861-BAD9-504F7ED7AD7A}"/>
    <cellStyle name="Normal 7 2 2" xfId="35" xr:uid="{0DCD3CA2-5DDF-4859-A7FB-5D2031C34854}"/>
    <cellStyle name="Normal 7 3" xfId="28" xr:uid="{435C9263-BD1F-4458-852E-80961DCA781F}"/>
    <cellStyle name="Normal 8" xfId="10" xr:uid="{1B6FBBA0-6B28-4034-8864-E3EBA527B2B6}"/>
    <cellStyle name="Normal 8 2" xfId="18" xr:uid="{5D7E5CB6-B1BF-4CAB-A4BC-D399022A7DA4}"/>
    <cellStyle name="Normal 8 2 2" xfId="36" xr:uid="{4FD0C877-6DE1-4D27-BAF9-D5316840A6F3}"/>
    <cellStyle name="Normal 8 3" xfId="29" xr:uid="{B1D392B0-8863-4C84-9E43-D9630B3DD346}"/>
    <cellStyle name="Normal 9" xfId="12" xr:uid="{69E294A6-21FF-4FC8-A17D-78829FC761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519A9-A8CF-4B85-ACF5-509D9963F364}">
  <dimension ref="A1:K70"/>
  <sheetViews>
    <sheetView workbookViewId="0">
      <selection activeCell="K5" sqref="K5"/>
    </sheetView>
  </sheetViews>
  <sheetFormatPr defaultRowHeight="12.75" x14ac:dyDescent="0.2"/>
  <cols>
    <col min="1" max="1" width="6.140625" style="6" bestFit="1" customWidth="1"/>
    <col min="2" max="2" width="26.7109375" style="6" bestFit="1" customWidth="1"/>
    <col min="3" max="3" width="42.140625" style="6" bestFit="1" customWidth="1"/>
    <col min="4" max="4" width="14.42578125" style="6" bestFit="1" customWidth="1"/>
    <col min="5" max="5" width="18.28515625" style="6" bestFit="1" customWidth="1"/>
    <col min="6" max="6" width="16.28515625" style="6" bestFit="1" customWidth="1"/>
    <col min="7" max="7" width="18.140625" style="6" bestFit="1" customWidth="1"/>
    <col min="8" max="8" width="44.42578125" style="6" bestFit="1" customWidth="1"/>
    <col min="9" max="9" width="10.85546875" style="6" bestFit="1" customWidth="1"/>
    <col min="10" max="10" width="11.28515625" style="6" bestFit="1" customWidth="1"/>
    <col min="11" max="16384" width="9.140625" style="6"/>
  </cols>
  <sheetData>
    <row r="1" spans="1:11" ht="15" customHeight="1" x14ac:dyDescent="0.2">
      <c r="A1" s="25" t="s">
        <v>151</v>
      </c>
      <c r="B1" s="25"/>
      <c r="C1" s="25"/>
      <c r="D1" s="25"/>
      <c r="E1" s="25"/>
      <c r="F1" s="25"/>
      <c r="G1" s="25"/>
      <c r="H1" s="25"/>
    </row>
    <row r="2" spans="1:11" x14ac:dyDescent="0.2">
      <c r="A2" s="25"/>
      <c r="B2" s="25"/>
      <c r="C2" s="25"/>
      <c r="D2" s="25"/>
      <c r="E2" s="25"/>
      <c r="F2" s="25"/>
      <c r="G2" s="25"/>
      <c r="H2" s="25"/>
    </row>
    <row r="3" spans="1:11" x14ac:dyDescent="0.2">
      <c r="A3" s="25"/>
      <c r="B3" s="25"/>
      <c r="C3" s="25"/>
      <c r="D3" s="25"/>
      <c r="E3" s="25"/>
      <c r="F3" s="25"/>
      <c r="G3" s="25"/>
      <c r="H3" s="25"/>
    </row>
    <row r="4" spans="1:11" ht="13.5" thickBot="1" x14ac:dyDescent="0.25"/>
    <row r="5" spans="1:11" ht="13.5" thickTop="1" x14ac:dyDescent="0.2">
      <c r="A5" s="7" t="s">
        <v>0</v>
      </c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9" t="s">
        <v>7</v>
      </c>
      <c r="I5" s="6" t="s">
        <v>56</v>
      </c>
      <c r="J5" s="6" t="s">
        <v>227</v>
      </c>
      <c r="K5" s="6" t="s">
        <v>229</v>
      </c>
    </row>
    <row r="6" spans="1:11" x14ac:dyDescent="0.2">
      <c r="A6" s="1" t="s">
        <v>8</v>
      </c>
      <c r="B6" s="10" t="s">
        <v>9</v>
      </c>
      <c r="C6" s="10" t="s">
        <v>10</v>
      </c>
      <c r="D6" s="10">
        <v>50000</v>
      </c>
      <c r="E6" s="10">
        <v>13559</v>
      </c>
      <c r="F6" s="2">
        <v>45366</v>
      </c>
      <c r="G6" s="2">
        <v>11495</v>
      </c>
      <c r="H6" s="11" t="s">
        <v>11</v>
      </c>
      <c r="I6" s="17"/>
    </row>
    <row r="7" spans="1:11" x14ac:dyDescent="0.2">
      <c r="A7" s="1" t="s">
        <v>8</v>
      </c>
      <c r="B7" s="10" t="s">
        <v>9</v>
      </c>
      <c r="C7" s="10" t="s">
        <v>12</v>
      </c>
      <c r="D7" s="10">
        <v>15000</v>
      </c>
      <c r="E7" s="10">
        <v>13559</v>
      </c>
      <c r="F7" s="2">
        <v>45366</v>
      </c>
      <c r="G7" s="2">
        <v>46270</v>
      </c>
      <c r="H7" s="11" t="s">
        <v>13</v>
      </c>
      <c r="I7" s="16">
        <v>6600</v>
      </c>
    </row>
    <row r="8" spans="1:11" x14ac:dyDescent="0.2">
      <c r="A8" s="1" t="s">
        <v>8</v>
      </c>
      <c r="B8" s="10" t="s">
        <v>14</v>
      </c>
      <c r="C8" s="10" t="s">
        <v>18</v>
      </c>
      <c r="D8" s="10">
        <v>25000</v>
      </c>
      <c r="E8" s="10">
        <v>13559</v>
      </c>
      <c r="F8" s="2">
        <v>45366</v>
      </c>
      <c r="G8" s="3" t="s">
        <v>19</v>
      </c>
      <c r="H8" s="11" t="s">
        <v>20</v>
      </c>
      <c r="J8" s="16">
        <v>187206.29</v>
      </c>
    </row>
    <row r="9" spans="1:11" x14ac:dyDescent="0.2">
      <c r="A9" s="1" t="s">
        <v>8</v>
      </c>
      <c r="B9" s="10" t="s">
        <v>14</v>
      </c>
      <c r="C9" s="10" t="s">
        <v>15</v>
      </c>
      <c r="D9" s="10">
        <v>10000</v>
      </c>
      <c r="E9" s="12">
        <v>13559</v>
      </c>
      <c r="F9" s="2">
        <v>45366</v>
      </c>
      <c r="G9" s="3" t="s">
        <v>16</v>
      </c>
      <c r="H9" s="11" t="s">
        <v>17</v>
      </c>
      <c r="I9" s="16">
        <v>3165.1367</v>
      </c>
    </row>
    <row r="10" spans="1:11" x14ac:dyDescent="0.2">
      <c r="A10" s="1" t="s">
        <v>8</v>
      </c>
      <c r="B10" s="10" t="s">
        <v>14</v>
      </c>
      <c r="C10" s="10" t="s">
        <v>21</v>
      </c>
      <c r="D10" s="10">
        <v>10000</v>
      </c>
      <c r="E10" s="12">
        <v>13559</v>
      </c>
      <c r="F10" s="2">
        <v>45366</v>
      </c>
      <c r="G10" s="3" t="s">
        <v>16</v>
      </c>
      <c r="H10" s="11" t="s">
        <v>17</v>
      </c>
      <c r="I10" s="16">
        <v>3165.1367</v>
      </c>
    </row>
    <row r="11" spans="1:11" x14ac:dyDescent="0.2">
      <c r="A11" s="1" t="s">
        <v>8</v>
      </c>
      <c r="B11" s="10" t="s">
        <v>14</v>
      </c>
      <c r="C11" s="10" t="s">
        <v>22</v>
      </c>
      <c r="D11" s="10">
        <v>50000</v>
      </c>
      <c r="E11" s="10">
        <v>13559</v>
      </c>
      <c r="F11" s="2">
        <v>45366</v>
      </c>
      <c r="G11" s="2">
        <v>11495</v>
      </c>
      <c r="H11" s="11" t="s">
        <v>23</v>
      </c>
      <c r="I11" s="16">
        <v>145757.92000000001</v>
      </c>
    </row>
    <row r="12" spans="1:11" x14ac:dyDescent="0.2">
      <c r="A12" s="1" t="s">
        <v>8</v>
      </c>
      <c r="B12" s="10" t="s">
        <v>14</v>
      </c>
      <c r="C12" s="10" t="s">
        <v>24</v>
      </c>
      <c r="D12" s="10">
        <v>50000</v>
      </c>
      <c r="E12" s="10">
        <v>13559</v>
      </c>
      <c r="F12" s="2">
        <v>45366</v>
      </c>
      <c r="G12" s="2">
        <v>11495</v>
      </c>
      <c r="H12" s="11" t="s">
        <v>25</v>
      </c>
      <c r="I12" s="16">
        <v>154040</v>
      </c>
    </row>
    <row r="13" spans="1:11" x14ac:dyDescent="0.2">
      <c r="A13" s="1" t="s">
        <v>8</v>
      </c>
      <c r="B13" s="10" t="s">
        <v>14</v>
      </c>
      <c r="C13" s="10" t="s">
        <v>26</v>
      </c>
      <c r="D13" s="10">
        <v>25000</v>
      </c>
      <c r="E13" s="10">
        <v>13559</v>
      </c>
      <c r="F13" s="2">
        <v>45366</v>
      </c>
      <c r="G13" s="3" t="s">
        <v>19</v>
      </c>
      <c r="H13" s="11" t="s">
        <v>27</v>
      </c>
      <c r="I13" s="16">
        <v>119660</v>
      </c>
    </row>
    <row r="14" spans="1:11" x14ac:dyDescent="0.2">
      <c r="A14" s="1" t="s">
        <v>8</v>
      </c>
      <c r="B14" s="10" t="s">
        <v>14</v>
      </c>
      <c r="C14" s="10" t="s">
        <v>28</v>
      </c>
      <c r="D14" s="10">
        <v>25000</v>
      </c>
      <c r="E14" s="10">
        <v>13559</v>
      </c>
      <c r="F14" s="2">
        <v>45366</v>
      </c>
      <c r="G14" s="3" t="s">
        <v>19</v>
      </c>
      <c r="H14" s="11" t="s">
        <v>29</v>
      </c>
      <c r="J14" s="16">
        <v>296340</v>
      </c>
    </row>
    <row r="15" spans="1:11" x14ac:dyDescent="0.2">
      <c r="A15" s="1" t="s">
        <v>8</v>
      </c>
      <c r="B15" s="10" t="s">
        <v>14</v>
      </c>
      <c r="C15" s="10" t="s">
        <v>30</v>
      </c>
      <c r="D15" s="10">
        <v>25000</v>
      </c>
      <c r="E15" s="10">
        <v>13559</v>
      </c>
      <c r="F15" s="2">
        <v>45366</v>
      </c>
      <c r="G15" s="3" t="s">
        <v>19</v>
      </c>
      <c r="H15" s="11" t="s">
        <v>31</v>
      </c>
      <c r="J15" s="16">
        <v>123179.97</v>
      </c>
    </row>
    <row r="16" spans="1:11" x14ac:dyDescent="0.2">
      <c r="A16" s="1" t="s">
        <v>8</v>
      </c>
      <c r="B16" s="10" t="s">
        <v>14</v>
      </c>
      <c r="C16" s="10" t="s">
        <v>32</v>
      </c>
      <c r="D16" s="10">
        <v>25000</v>
      </c>
      <c r="E16" s="10">
        <v>13559</v>
      </c>
      <c r="F16" s="2">
        <v>45366</v>
      </c>
      <c r="G16" s="3" t="s">
        <v>19</v>
      </c>
      <c r="H16" s="11" t="s">
        <v>33</v>
      </c>
      <c r="I16" s="16"/>
      <c r="J16" s="16">
        <v>123179.97</v>
      </c>
    </row>
    <row r="17" spans="1:10" x14ac:dyDescent="0.2">
      <c r="A17" s="1" t="s">
        <v>8</v>
      </c>
      <c r="B17" s="10" t="s">
        <v>14</v>
      </c>
      <c r="C17" s="10" t="s">
        <v>34</v>
      </c>
      <c r="D17" s="10">
        <v>5000</v>
      </c>
      <c r="E17" s="10">
        <v>777</v>
      </c>
      <c r="F17" s="2">
        <v>46149</v>
      </c>
      <c r="G17" s="3" t="s">
        <v>35</v>
      </c>
      <c r="H17" s="11" t="s">
        <v>36</v>
      </c>
      <c r="I17" s="16">
        <v>20474.599999999999</v>
      </c>
    </row>
    <row r="18" spans="1:10" x14ac:dyDescent="0.2">
      <c r="A18" s="1" t="s">
        <v>8</v>
      </c>
      <c r="B18" s="10" t="s">
        <v>14</v>
      </c>
      <c r="C18" s="10" t="s">
        <v>37</v>
      </c>
      <c r="D18" s="10">
        <v>5000</v>
      </c>
      <c r="E18" s="10">
        <v>3665</v>
      </c>
      <c r="F18" s="2">
        <v>45941</v>
      </c>
      <c r="G18" s="3" t="s">
        <v>38</v>
      </c>
      <c r="H18" s="11" t="s">
        <v>39</v>
      </c>
      <c r="J18" s="16">
        <v>541610.92000000004</v>
      </c>
    </row>
    <row r="19" spans="1:10" x14ac:dyDescent="0.2">
      <c r="A19" s="1" t="s">
        <v>8</v>
      </c>
      <c r="B19" s="10" t="s">
        <v>14</v>
      </c>
      <c r="C19" s="10" t="s">
        <v>40</v>
      </c>
      <c r="D19" s="10">
        <v>2500</v>
      </c>
      <c r="E19" s="12">
        <v>3665</v>
      </c>
      <c r="F19" s="2">
        <v>45941</v>
      </c>
      <c r="G19" s="3" t="s">
        <v>41</v>
      </c>
      <c r="H19" s="11" t="s">
        <v>42</v>
      </c>
      <c r="J19" s="16">
        <v>0</v>
      </c>
    </row>
    <row r="20" spans="1:10" x14ac:dyDescent="0.2">
      <c r="A20" s="1" t="s">
        <v>8</v>
      </c>
      <c r="B20" s="10" t="s">
        <v>14</v>
      </c>
      <c r="C20" s="10" t="s">
        <v>43</v>
      </c>
      <c r="D20" s="10">
        <v>1250</v>
      </c>
      <c r="E20" s="10">
        <v>439</v>
      </c>
      <c r="F20" s="2">
        <v>46165</v>
      </c>
      <c r="G20" s="3" t="s">
        <v>44</v>
      </c>
      <c r="H20" s="11" t="s">
        <v>45</v>
      </c>
      <c r="I20" s="16">
        <v>61862.559999999998</v>
      </c>
    </row>
    <row r="21" spans="1:10" x14ac:dyDescent="0.2">
      <c r="A21" s="1" t="s">
        <v>8</v>
      </c>
      <c r="B21" s="10" t="s">
        <v>14</v>
      </c>
      <c r="C21" s="10" t="s">
        <v>46</v>
      </c>
      <c r="D21" s="10">
        <v>1250</v>
      </c>
      <c r="E21" s="10">
        <v>439</v>
      </c>
      <c r="F21" s="2">
        <v>46165</v>
      </c>
      <c r="G21" s="3" t="s">
        <v>44</v>
      </c>
      <c r="H21" s="11" t="s">
        <v>47</v>
      </c>
      <c r="I21" s="16">
        <v>0</v>
      </c>
    </row>
    <row r="22" spans="1:10" x14ac:dyDescent="0.2">
      <c r="A22" s="1" t="s">
        <v>8</v>
      </c>
      <c r="B22" s="10" t="s">
        <v>14</v>
      </c>
      <c r="C22" s="10" t="s">
        <v>48</v>
      </c>
      <c r="D22" s="10">
        <v>5000</v>
      </c>
      <c r="E22" s="10">
        <v>3665</v>
      </c>
      <c r="F22" s="2">
        <v>45941</v>
      </c>
      <c r="G22" s="3" t="s">
        <v>38</v>
      </c>
      <c r="H22" s="11" t="s">
        <v>49</v>
      </c>
      <c r="J22" s="16">
        <v>36446.5</v>
      </c>
    </row>
    <row r="23" spans="1:10" x14ac:dyDescent="0.2">
      <c r="A23" s="1" t="s">
        <v>8</v>
      </c>
      <c r="B23" s="10" t="s">
        <v>14</v>
      </c>
      <c r="C23" s="10" t="s">
        <v>50</v>
      </c>
      <c r="D23" s="10">
        <v>5000</v>
      </c>
      <c r="E23" s="10">
        <v>3665</v>
      </c>
      <c r="F23" s="2">
        <v>45941</v>
      </c>
      <c r="G23" s="3" t="s">
        <v>38</v>
      </c>
      <c r="H23" s="11" t="s">
        <v>51</v>
      </c>
      <c r="J23" s="16">
        <v>36446.5</v>
      </c>
    </row>
    <row r="24" spans="1:10" x14ac:dyDescent="0.2">
      <c r="A24" s="1" t="s">
        <v>8</v>
      </c>
      <c r="B24" s="10" t="s">
        <v>14</v>
      </c>
      <c r="C24" s="10" t="s">
        <v>52</v>
      </c>
      <c r="D24" s="10">
        <v>7000</v>
      </c>
      <c r="E24" s="10">
        <v>6525</v>
      </c>
      <c r="F24" s="3" t="s">
        <v>53</v>
      </c>
      <c r="G24" s="2">
        <v>46222</v>
      </c>
      <c r="H24" s="11" t="s">
        <v>54</v>
      </c>
      <c r="J24" s="16">
        <v>10479.86</v>
      </c>
    </row>
    <row r="25" spans="1:10" x14ac:dyDescent="0.2">
      <c r="A25" s="1" t="s">
        <v>8</v>
      </c>
      <c r="B25" s="10" t="s">
        <v>14</v>
      </c>
      <c r="C25" s="10" t="s">
        <v>55</v>
      </c>
      <c r="D25" s="10">
        <v>6000</v>
      </c>
      <c r="E25" s="10">
        <v>3229</v>
      </c>
      <c r="F25" s="2">
        <v>45976</v>
      </c>
      <c r="G25" s="2">
        <v>46336</v>
      </c>
      <c r="H25" s="11" t="s">
        <v>56</v>
      </c>
      <c r="I25" s="16">
        <v>4556.03</v>
      </c>
    </row>
    <row r="26" spans="1:10" x14ac:dyDescent="0.2">
      <c r="A26" s="1" t="s">
        <v>8</v>
      </c>
      <c r="B26" s="10" t="s">
        <v>57</v>
      </c>
      <c r="C26" s="10" t="s">
        <v>58</v>
      </c>
      <c r="D26" s="10">
        <v>25000</v>
      </c>
      <c r="E26" s="10">
        <v>13559</v>
      </c>
      <c r="F26" s="2">
        <v>45366</v>
      </c>
      <c r="G26" s="3" t="s">
        <v>19</v>
      </c>
      <c r="H26" s="11" t="s">
        <v>59</v>
      </c>
      <c r="J26" s="16">
        <v>246575.83</v>
      </c>
    </row>
    <row r="27" spans="1:10" x14ac:dyDescent="0.2">
      <c r="A27" s="1" t="s">
        <v>8</v>
      </c>
      <c r="B27" s="10" t="s">
        <v>57</v>
      </c>
      <c r="C27" s="10" t="s">
        <v>60</v>
      </c>
      <c r="D27" s="10">
        <v>25000</v>
      </c>
      <c r="E27" s="10">
        <v>13499</v>
      </c>
      <c r="F27" s="3" t="s">
        <v>61</v>
      </c>
      <c r="G27" s="3" t="s">
        <v>62</v>
      </c>
      <c r="H27" s="11" t="s">
        <v>63</v>
      </c>
      <c r="J27" s="16">
        <v>246575.83</v>
      </c>
    </row>
    <row r="28" spans="1:10" x14ac:dyDescent="0.2">
      <c r="A28" s="1" t="s">
        <v>8</v>
      </c>
      <c r="B28" s="10" t="s">
        <v>57</v>
      </c>
      <c r="C28" s="10" t="s">
        <v>64</v>
      </c>
      <c r="D28" s="10">
        <v>25000</v>
      </c>
      <c r="E28" s="10">
        <v>6774</v>
      </c>
      <c r="F28" s="3" t="s">
        <v>65</v>
      </c>
      <c r="G28" s="3" t="s">
        <v>66</v>
      </c>
      <c r="H28" s="11" t="s">
        <v>67</v>
      </c>
      <c r="I28" s="16">
        <v>111515.88</v>
      </c>
    </row>
    <row r="29" spans="1:10" x14ac:dyDescent="0.2">
      <c r="A29" s="1" t="s">
        <v>8</v>
      </c>
      <c r="B29" s="10" t="s">
        <v>57</v>
      </c>
      <c r="C29" s="10" t="s">
        <v>68</v>
      </c>
      <c r="D29" s="10">
        <v>25000</v>
      </c>
      <c r="E29" s="10">
        <v>13559</v>
      </c>
      <c r="F29" s="2">
        <v>45366</v>
      </c>
      <c r="G29" s="3" t="s">
        <v>19</v>
      </c>
      <c r="H29" s="11" t="s">
        <v>69</v>
      </c>
      <c r="I29" s="16">
        <v>111515.88</v>
      </c>
    </row>
    <row r="30" spans="1:10" x14ac:dyDescent="0.2">
      <c r="A30" s="1" t="s">
        <v>8</v>
      </c>
      <c r="B30" s="10" t="s">
        <v>57</v>
      </c>
      <c r="C30" s="10" t="s">
        <v>70</v>
      </c>
      <c r="D30" s="10">
        <v>7000</v>
      </c>
      <c r="E30" s="10">
        <v>5229</v>
      </c>
      <c r="F30" s="2">
        <v>45835</v>
      </c>
      <c r="G30" s="2">
        <v>46286</v>
      </c>
      <c r="H30" s="11" t="s">
        <v>71</v>
      </c>
      <c r="J30" s="16">
        <v>7936.58</v>
      </c>
    </row>
    <row r="31" spans="1:10" x14ac:dyDescent="0.2">
      <c r="A31" s="1" t="s">
        <v>8</v>
      </c>
      <c r="B31" s="10" t="s">
        <v>57</v>
      </c>
      <c r="C31" s="10" t="s">
        <v>72</v>
      </c>
      <c r="D31" s="10">
        <v>7000</v>
      </c>
      <c r="E31" s="10">
        <v>5229</v>
      </c>
      <c r="F31" s="2">
        <v>45835</v>
      </c>
      <c r="G31" s="2">
        <v>46286</v>
      </c>
      <c r="H31" s="11" t="s">
        <v>73</v>
      </c>
      <c r="J31" s="16">
        <v>7936.58</v>
      </c>
    </row>
    <row r="32" spans="1:10" x14ac:dyDescent="0.2">
      <c r="A32" s="1" t="s">
        <v>8</v>
      </c>
      <c r="B32" s="10" t="s">
        <v>57</v>
      </c>
      <c r="C32" s="10" t="s">
        <v>74</v>
      </c>
      <c r="D32" s="10">
        <v>50000</v>
      </c>
      <c r="E32" s="10">
        <v>13559</v>
      </c>
      <c r="F32" s="2">
        <v>45366</v>
      </c>
      <c r="G32" s="2">
        <v>11495</v>
      </c>
      <c r="H32" s="11" t="s">
        <v>75</v>
      </c>
      <c r="I32" s="16">
        <v>0</v>
      </c>
    </row>
    <row r="33" spans="1:10" x14ac:dyDescent="0.2">
      <c r="A33" s="1" t="s">
        <v>8</v>
      </c>
      <c r="B33" s="10" t="s">
        <v>57</v>
      </c>
      <c r="C33" s="10" t="s">
        <v>76</v>
      </c>
      <c r="D33" s="10">
        <v>50000</v>
      </c>
      <c r="E33" s="10">
        <v>13559</v>
      </c>
      <c r="F33" s="2">
        <v>45366</v>
      </c>
      <c r="G33" s="2">
        <v>11495</v>
      </c>
      <c r="H33" s="11" t="s">
        <v>77</v>
      </c>
      <c r="I33" s="16">
        <v>0</v>
      </c>
    </row>
    <row r="34" spans="1:10" x14ac:dyDescent="0.2">
      <c r="A34" s="1" t="s">
        <v>8</v>
      </c>
      <c r="B34" s="10" t="s">
        <v>57</v>
      </c>
      <c r="C34" s="10" t="s">
        <v>78</v>
      </c>
      <c r="D34" s="10">
        <v>50000</v>
      </c>
      <c r="E34" s="10">
        <v>13559</v>
      </c>
      <c r="F34" s="2">
        <v>45366</v>
      </c>
      <c r="G34" s="2">
        <v>11495</v>
      </c>
      <c r="H34" s="11" t="s">
        <v>79</v>
      </c>
      <c r="I34" s="16">
        <v>0</v>
      </c>
    </row>
    <row r="35" spans="1:10" x14ac:dyDescent="0.2">
      <c r="A35" s="1" t="s">
        <v>8</v>
      </c>
      <c r="B35" s="10" t="s">
        <v>57</v>
      </c>
      <c r="C35" s="10" t="s">
        <v>80</v>
      </c>
      <c r="D35" s="10">
        <v>5000</v>
      </c>
      <c r="E35" s="12">
        <v>13559</v>
      </c>
      <c r="F35" s="2">
        <v>45366</v>
      </c>
      <c r="G35" s="3" t="s">
        <v>81</v>
      </c>
      <c r="H35" s="11"/>
      <c r="I35" s="16">
        <v>0</v>
      </c>
    </row>
    <row r="36" spans="1:10" x14ac:dyDescent="0.2">
      <c r="A36" s="1" t="s">
        <v>8</v>
      </c>
      <c r="B36" s="10" t="s">
        <v>57</v>
      </c>
      <c r="C36" s="10" t="s">
        <v>82</v>
      </c>
      <c r="D36" s="10">
        <v>3000</v>
      </c>
      <c r="E36" s="12">
        <v>7603</v>
      </c>
      <c r="F36" s="2">
        <v>45699</v>
      </c>
      <c r="G36" s="2">
        <v>45968</v>
      </c>
      <c r="H36" s="11"/>
      <c r="I36" s="16">
        <v>0</v>
      </c>
    </row>
    <row r="37" spans="1:10" x14ac:dyDescent="0.2">
      <c r="A37" s="1" t="s">
        <v>8</v>
      </c>
      <c r="B37" s="10" t="s">
        <v>83</v>
      </c>
      <c r="C37" s="10" t="s">
        <v>84</v>
      </c>
      <c r="D37" s="10">
        <v>25000</v>
      </c>
      <c r="E37" s="10">
        <v>13559</v>
      </c>
      <c r="F37" s="2">
        <v>45366</v>
      </c>
      <c r="G37" s="3" t="s">
        <v>19</v>
      </c>
      <c r="H37" s="11" t="s">
        <v>85</v>
      </c>
      <c r="J37" s="16">
        <v>278998.71000000002</v>
      </c>
    </row>
    <row r="38" spans="1:10" x14ac:dyDescent="0.2">
      <c r="A38" s="1" t="s">
        <v>8</v>
      </c>
      <c r="B38" s="10" t="s">
        <v>83</v>
      </c>
      <c r="C38" s="10" t="s">
        <v>86</v>
      </c>
      <c r="D38" s="10">
        <v>25000</v>
      </c>
      <c r="E38" s="10">
        <v>13559</v>
      </c>
      <c r="F38" s="2">
        <v>45366</v>
      </c>
      <c r="G38" s="3" t="s">
        <v>19</v>
      </c>
      <c r="H38" s="11" t="s">
        <v>87</v>
      </c>
      <c r="I38" s="16">
        <v>29594.93</v>
      </c>
    </row>
    <row r="39" spans="1:10" x14ac:dyDescent="0.2">
      <c r="A39" s="1" t="s">
        <v>8</v>
      </c>
      <c r="B39" s="10" t="s">
        <v>83</v>
      </c>
      <c r="C39" s="10" t="s">
        <v>88</v>
      </c>
      <c r="D39" s="10">
        <v>25000</v>
      </c>
      <c r="E39" s="10">
        <v>13559</v>
      </c>
      <c r="F39" s="2">
        <v>45366</v>
      </c>
      <c r="G39" s="3" t="s">
        <v>19</v>
      </c>
      <c r="H39" s="11" t="s">
        <v>89</v>
      </c>
      <c r="J39" s="16">
        <v>340389.81</v>
      </c>
    </row>
    <row r="40" spans="1:10" x14ac:dyDescent="0.2">
      <c r="A40" s="1" t="s">
        <v>8</v>
      </c>
      <c r="B40" s="10" t="s">
        <v>83</v>
      </c>
      <c r="C40" s="10" t="s">
        <v>90</v>
      </c>
      <c r="D40" s="10">
        <v>12500</v>
      </c>
      <c r="E40" s="12">
        <v>13559</v>
      </c>
      <c r="F40" s="2">
        <v>45366</v>
      </c>
      <c r="G40" s="2">
        <v>46145</v>
      </c>
      <c r="H40" s="11" t="s">
        <v>91</v>
      </c>
      <c r="I40" s="16">
        <v>0</v>
      </c>
    </row>
    <row r="41" spans="1:10" x14ac:dyDescent="0.2">
      <c r="A41" s="1" t="s">
        <v>8</v>
      </c>
      <c r="B41" s="10" t="s">
        <v>83</v>
      </c>
      <c r="C41" s="10" t="s">
        <v>92</v>
      </c>
      <c r="D41" s="10">
        <v>50000</v>
      </c>
      <c r="E41" s="10">
        <v>13559</v>
      </c>
      <c r="F41" s="2">
        <v>45366</v>
      </c>
      <c r="G41" s="2">
        <v>11495</v>
      </c>
      <c r="H41" s="11" t="s">
        <v>93</v>
      </c>
      <c r="J41" s="16">
        <v>158691.91</v>
      </c>
    </row>
    <row r="42" spans="1:10" x14ac:dyDescent="0.2">
      <c r="A42" s="1" t="s">
        <v>8</v>
      </c>
      <c r="B42" s="10" t="s">
        <v>83</v>
      </c>
      <c r="C42" s="10" t="s">
        <v>94</v>
      </c>
      <c r="D42" s="10">
        <v>25000</v>
      </c>
      <c r="E42" s="10">
        <v>9516</v>
      </c>
      <c r="F42" s="2">
        <v>45593</v>
      </c>
      <c r="G42" s="3" t="s">
        <v>95</v>
      </c>
      <c r="H42" s="11" t="s">
        <v>96</v>
      </c>
      <c r="J42" s="16">
        <v>140797.20000000001</v>
      </c>
    </row>
    <row r="43" spans="1:10" x14ac:dyDescent="0.2">
      <c r="A43" s="1" t="s">
        <v>8</v>
      </c>
      <c r="B43" s="10" t="s">
        <v>83</v>
      </c>
      <c r="C43" s="10" t="s">
        <v>97</v>
      </c>
      <c r="D43" s="10">
        <v>25000</v>
      </c>
      <c r="E43" s="10">
        <v>2586</v>
      </c>
      <c r="F43" s="3" t="s">
        <v>98</v>
      </c>
      <c r="G43" s="2">
        <v>47318</v>
      </c>
      <c r="H43" s="11" t="s">
        <v>99</v>
      </c>
      <c r="I43" s="16">
        <v>113844.2</v>
      </c>
    </row>
    <row r="44" spans="1:10" x14ac:dyDescent="0.2">
      <c r="A44" s="1" t="s">
        <v>8</v>
      </c>
      <c r="B44" s="10" t="s">
        <v>83</v>
      </c>
      <c r="C44" s="10" t="s">
        <v>100</v>
      </c>
      <c r="D44" s="10">
        <v>950</v>
      </c>
      <c r="E44" s="12">
        <v>3410</v>
      </c>
      <c r="F44" s="2">
        <v>45949</v>
      </c>
      <c r="G44" s="2">
        <v>46075</v>
      </c>
      <c r="H44" s="11" t="s">
        <v>101</v>
      </c>
      <c r="I44" s="16">
        <v>0</v>
      </c>
    </row>
    <row r="45" spans="1:10" x14ac:dyDescent="0.2">
      <c r="A45" s="1" t="s">
        <v>8</v>
      </c>
      <c r="B45" s="10" t="s">
        <v>83</v>
      </c>
      <c r="C45" s="10" t="s">
        <v>102</v>
      </c>
      <c r="D45" s="10">
        <v>7500</v>
      </c>
      <c r="E45" s="10">
        <v>439</v>
      </c>
      <c r="F45" s="2">
        <v>46165</v>
      </c>
      <c r="G45" s="2">
        <v>46551</v>
      </c>
      <c r="H45" s="11" t="s">
        <v>103</v>
      </c>
      <c r="J45" s="16">
        <v>18803.53</v>
      </c>
    </row>
    <row r="46" spans="1:10" x14ac:dyDescent="0.2">
      <c r="A46" s="1" t="s">
        <v>8</v>
      </c>
      <c r="B46" s="10" t="s">
        <v>83</v>
      </c>
      <c r="C46" s="10" t="s">
        <v>104</v>
      </c>
      <c r="D46" s="10">
        <v>7500</v>
      </c>
      <c r="E46" s="10">
        <v>7366</v>
      </c>
      <c r="F46" s="2">
        <v>45717</v>
      </c>
      <c r="G46" s="2">
        <v>46204</v>
      </c>
      <c r="H46" s="11" t="s">
        <v>105</v>
      </c>
      <c r="J46" s="16">
        <v>18803.53</v>
      </c>
    </row>
    <row r="47" spans="1:10" x14ac:dyDescent="0.2">
      <c r="A47" s="1" t="s">
        <v>8</v>
      </c>
      <c r="B47" s="10" t="s">
        <v>106</v>
      </c>
      <c r="C47" s="10" t="s">
        <v>107</v>
      </c>
      <c r="D47" s="10">
        <v>12000</v>
      </c>
      <c r="E47" s="12">
        <v>13559</v>
      </c>
      <c r="F47" s="2">
        <v>45366</v>
      </c>
      <c r="G47" s="3" t="s">
        <v>108</v>
      </c>
      <c r="H47" s="11" t="s">
        <v>109</v>
      </c>
      <c r="J47" s="16">
        <v>4019.8</v>
      </c>
    </row>
    <row r="48" spans="1:10" x14ac:dyDescent="0.2">
      <c r="A48" s="1" t="s">
        <v>8</v>
      </c>
      <c r="B48" s="10" t="s">
        <v>106</v>
      </c>
      <c r="C48" s="10" t="s">
        <v>110</v>
      </c>
      <c r="D48" s="10">
        <v>12000</v>
      </c>
      <c r="E48" s="12">
        <v>13559</v>
      </c>
      <c r="F48" s="2">
        <v>45366</v>
      </c>
      <c r="G48" s="3" t="s">
        <v>108</v>
      </c>
      <c r="H48" s="11" t="s">
        <v>109</v>
      </c>
      <c r="J48" s="16">
        <v>4019.8</v>
      </c>
    </row>
    <row r="49" spans="1:10" x14ac:dyDescent="0.2">
      <c r="A49" s="1" t="s">
        <v>8</v>
      </c>
      <c r="B49" s="10" t="s">
        <v>106</v>
      </c>
      <c r="C49" s="10" t="s">
        <v>111</v>
      </c>
      <c r="D49" s="10">
        <v>12000</v>
      </c>
      <c r="E49" s="10">
        <v>846</v>
      </c>
      <c r="F49" s="3" t="s">
        <v>112</v>
      </c>
      <c r="G49" s="3" t="s">
        <v>113</v>
      </c>
      <c r="H49" s="11" t="s">
        <v>114</v>
      </c>
      <c r="J49" s="16">
        <v>4019.8</v>
      </c>
    </row>
    <row r="50" spans="1:10" x14ac:dyDescent="0.2">
      <c r="A50" s="1" t="s">
        <v>8</v>
      </c>
      <c r="B50" s="10" t="s">
        <v>115</v>
      </c>
      <c r="C50" s="10" t="s">
        <v>116</v>
      </c>
      <c r="D50" s="10">
        <v>30000</v>
      </c>
      <c r="E50" s="10">
        <v>13559</v>
      </c>
      <c r="F50" s="2">
        <v>45366</v>
      </c>
      <c r="G50" s="2">
        <v>47020</v>
      </c>
      <c r="H50" s="11" t="s">
        <v>117</v>
      </c>
      <c r="J50" s="16">
        <v>300000</v>
      </c>
    </row>
    <row r="51" spans="1:10" x14ac:dyDescent="0.2">
      <c r="A51" s="1" t="s">
        <v>8</v>
      </c>
      <c r="B51" s="10" t="s">
        <v>115</v>
      </c>
      <c r="C51" s="10" t="s">
        <v>118</v>
      </c>
      <c r="D51" s="10">
        <v>30000</v>
      </c>
      <c r="E51" s="10">
        <v>13559</v>
      </c>
      <c r="F51" s="2">
        <v>45366</v>
      </c>
      <c r="G51" s="2">
        <v>47020</v>
      </c>
      <c r="H51" s="11" t="s">
        <v>119</v>
      </c>
      <c r="J51" s="16">
        <v>300000</v>
      </c>
    </row>
    <row r="52" spans="1:10" x14ac:dyDescent="0.2">
      <c r="A52" s="1" t="s">
        <v>8</v>
      </c>
      <c r="B52" s="10" t="s">
        <v>115</v>
      </c>
      <c r="C52" s="10" t="s">
        <v>120</v>
      </c>
      <c r="D52" s="10">
        <v>25000</v>
      </c>
      <c r="E52" s="10">
        <v>13559</v>
      </c>
      <c r="F52" s="2">
        <v>45366</v>
      </c>
      <c r="G52" s="3" t="s">
        <v>19</v>
      </c>
      <c r="H52" s="11" t="s">
        <v>121</v>
      </c>
      <c r="J52" s="18">
        <v>9015.43</v>
      </c>
    </row>
    <row r="53" spans="1:10" x14ac:dyDescent="0.2">
      <c r="A53" s="1" t="s">
        <v>8</v>
      </c>
      <c r="B53" s="10" t="s">
        <v>115</v>
      </c>
      <c r="C53" s="10" t="s">
        <v>122</v>
      </c>
      <c r="D53" s="10">
        <v>25000</v>
      </c>
      <c r="E53" s="10">
        <v>13559</v>
      </c>
      <c r="F53" s="2">
        <v>45366</v>
      </c>
      <c r="G53" s="3" t="s">
        <v>19</v>
      </c>
      <c r="H53" s="11" t="s">
        <v>123</v>
      </c>
      <c r="J53" s="18">
        <v>9015.43</v>
      </c>
    </row>
    <row r="54" spans="1:10" x14ac:dyDescent="0.2">
      <c r="A54" s="1" t="s">
        <v>8</v>
      </c>
      <c r="B54" s="10" t="s">
        <v>115</v>
      </c>
      <c r="C54" s="10" t="s">
        <v>124</v>
      </c>
      <c r="D54" s="10">
        <v>25000</v>
      </c>
      <c r="E54" s="10">
        <v>2713</v>
      </c>
      <c r="F54" s="3" t="s">
        <v>125</v>
      </c>
      <c r="G54" s="2">
        <v>47312</v>
      </c>
      <c r="H54" s="11" t="s">
        <v>126</v>
      </c>
      <c r="I54" s="16">
        <v>139000</v>
      </c>
    </row>
    <row r="55" spans="1:10" x14ac:dyDescent="0.2">
      <c r="A55" s="1" t="s">
        <v>8</v>
      </c>
      <c r="B55" s="10" t="s">
        <v>115</v>
      </c>
      <c r="C55" s="10" t="s">
        <v>127</v>
      </c>
      <c r="D55" s="10">
        <v>25000</v>
      </c>
      <c r="E55" s="10">
        <v>13559</v>
      </c>
      <c r="F55" s="2">
        <v>45366</v>
      </c>
      <c r="G55" s="3" t="s">
        <v>19</v>
      </c>
      <c r="H55" s="11" t="s">
        <v>128</v>
      </c>
      <c r="I55" s="16">
        <v>139000</v>
      </c>
      <c r="J55" s="16">
        <v>27973.68</v>
      </c>
    </row>
    <row r="56" spans="1:10" x14ac:dyDescent="0.2">
      <c r="A56" s="1" t="s">
        <v>8</v>
      </c>
      <c r="B56" s="10" t="s">
        <v>115</v>
      </c>
      <c r="C56" s="10" t="s">
        <v>129</v>
      </c>
      <c r="D56" s="10">
        <v>25000</v>
      </c>
      <c r="E56" s="10">
        <v>2713</v>
      </c>
      <c r="F56" s="3" t="s">
        <v>125</v>
      </c>
      <c r="G56" s="2">
        <v>47312</v>
      </c>
      <c r="H56" s="11" t="s">
        <v>130</v>
      </c>
      <c r="I56" s="16">
        <v>52144.986486486487</v>
      </c>
    </row>
    <row r="57" spans="1:10" x14ac:dyDescent="0.2">
      <c r="A57" s="1" t="s">
        <v>8</v>
      </c>
      <c r="B57" s="10" t="s">
        <v>115</v>
      </c>
      <c r="C57" s="10" t="s">
        <v>131</v>
      </c>
      <c r="D57" s="10">
        <v>25000</v>
      </c>
      <c r="E57" s="10">
        <v>777</v>
      </c>
      <c r="F57" s="2">
        <v>46149</v>
      </c>
      <c r="G57" s="2">
        <v>47409</v>
      </c>
      <c r="H57" s="11" t="s">
        <v>132</v>
      </c>
      <c r="I57" s="16">
        <v>52144.986486486487</v>
      </c>
    </row>
    <row r="58" spans="1:10" x14ac:dyDescent="0.2">
      <c r="A58" s="1" t="s">
        <v>8</v>
      </c>
      <c r="B58" s="10" t="s">
        <v>115</v>
      </c>
      <c r="C58" s="10" t="s">
        <v>133</v>
      </c>
      <c r="D58" s="10">
        <v>5000</v>
      </c>
      <c r="E58" s="10">
        <v>3608</v>
      </c>
      <c r="F58" s="2">
        <v>45944</v>
      </c>
      <c r="G58" s="2">
        <v>46267</v>
      </c>
      <c r="H58" s="11" t="s">
        <v>134</v>
      </c>
      <c r="J58" s="16">
        <v>84097.4</v>
      </c>
    </row>
    <row r="59" spans="1:10" x14ac:dyDescent="0.2">
      <c r="A59" s="1" t="s">
        <v>8</v>
      </c>
      <c r="B59" s="10" t="s">
        <v>115</v>
      </c>
      <c r="C59" s="10" t="s">
        <v>135</v>
      </c>
      <c r="D59" s="10">
        <v>5000</v>
      </c>
      <c r="E59" s="10">
        <v>1760</v>
      </c>
      <c r="F59" s="2">
        <v>46089</v>
      </c>
      <c r="G59" s="3" t="s">
        <v>136</v>
      </c>
      <c r="H59" s="11" t="s">
        <v>137</v>
      </c>
      <c r="J59" s="16">
        <v>84097.4</v>
      </c>
    </row>
    <row r="60" spans="1:10" x14ac:dyDescent="0.2">
      <c r="A60" s="1" t="s">
        <v>8</v>
      </c>
      <c r="B60" s="10" t="s">
        <v>115</v>
      </c>
      <c r="C60" s="10" t="s">
        <v>138</v>
      </c>
      <c r="D60" s="10">
        <v>25000</v>
      </c>
      <c r="E60" s="10">
        <v>13559</v>
      </c>
      <c r="F60" s="2">
        <v>45366</v>
      </c>
      <c r="G60" s="3" t="s">
        <v>19</v>
      </c>
      <c r="H60" s="11" t="s">
        <v>139</v>
      </c>
      <c r="I60" s="16">
        <v>159300.54</v>
      </c>
    </row>
    <row r="61" spans="1:10" x14ac:dyDescent="0.2">
      <c r="A61" s="1" t="s">
        <v>8</v>
      </c>
      <c r="B61" s="10" t="s">
        <v>115</v>
      </c>
      <c r="C61" s="10" t="s">
        <v>140</v>
      </c>
      <c r="D61" s="10">
        <v>25000</v>
      </c>
      <c r="E61" s="10">
        <v>13559</v>
      </c>
      <c r="F61" s="2">
        <v>45366</v>
      </c>
      <c r="G61" s="3" t="s">
        <v>19</v>
      </c>
      <c r="H61" s="11" t="s">
        <v>141</v>
      </c>
      <c r="I61" s="16">
        <v>159300.54</v>
      </c>
    </row>
    <row r="62" spans="1:10" x14ac:dyDescent="0.2">
      <c r="A62" s="1" t="s">
        <v>8</v>
      </c>
      <c r="B62" s="10" t="s">
        <v>115</v>
      </c>
      <c r="C62" s="10" t="s">
        <v>142</v>
      </c>
      <c r="D62" s="10">
        <v>25000</v>
      </c>
      <c r="E62" s="10">
        <v>13559</v>
      </c>
      <c r="F62" s="2">
        <v>45366</v>
      </c>
      <c r="G62" s="3" t="s">
        <v>19</v>
      </c>
      <c r="H62" s="11" t="s">
        <v>139</v>
      </c>
      <c r="I62" s="16">
        <v>28152.95</v>
      </c>
    </row>
    <row r="63" spans="1:10" x14ac:dyDescent="0.2">
      <c r="A63" s="1" t="s">
        <v>8</v>
      </c>
      <c r="B63" s="10" t="s">
        <v>115</v>
      </c>
      <c r="C63" s="10" t="s">
        <v>143</v>
      </c>
      <c r="D63" s="10">
        <v>25000</v>
      </c>
      <c r="E63" s="10">
        <v>13559</v>
      </c>
      <c r="F63" s="2">
        <v>45366</v>
      </c>
      <c r="G63" s="3" t="s">
        <v>19</v>
      </c>
      <c r="H63" s="11" t="s">
        <v>139</v>
      </c>
      <c r="I63" s="16">
        <v>28152.95</v>
      </c>
    </row>
    <row r="64" spans="1:10" x14ac:dyDescent="0.2">
      <c r="A64" s="1" t="s">
        <v>8</v>
      </c>
      <c r="B64" s="10" t="s">
        <v>115</v>
      </c>
      <c r="C64" s="10" t="s">
        <v>144</v>
      </c>
      <c r="D64" s="10">
        <v>20000</v>
      </c>
      <c r="E64" s="10">
        <v>13559</v>
      </c>
      <c r="F64" s="2">
        <v>45366</v>
      </c>
      <c r="G64" s="2">
        <v>46520</v>
      </c>
      <c r="H64" s="11" t="s">
        <v>145</v>
      </c>
      <c r="I64" s="16">
        <v>592704.1</v>
      </c>
    </row>
    <row r="65" spans="1:10" x14ac:dyDescent="0.2">
      <c r="A65" s="1" t="s">
        <v>8</v>
      </c>
      <c r="B65" s="10" t="s">
        <v>115</v>
      </c>
      <c r="C65" s="10" t="s">
        <v>146</v>
      </c>
      <c r="D65" s="10">
        <v>20000</v>
      </c>
      <c r="E65" s="10">
        <v>13559</v>
      </c>
      <c r="F65" s="2">
        <v>45366</v>
      </c>
      <c r="G65" s="2">
        <v>46520</v>
      </c>
      <c r="H65" s="11" t="s">
        <v>147</v>
      </c>
      <c r="I65" s="16">
        <v>592704.1</v>
      </c>
    </row>
    <row r="66" spans="1:10" ht="13.5" thickBot="1" x14ac:dyDescent="0.25">
      <c r="A66" s="4" t="s">
        <v>8</v>
      </c>
      <c r="B66" s="13" t="s">
        <v>148</v>
      </c>
      <c r="C66" s="13" t="s">
        <v>149</v>
      </c>
      <c r="D66" s="13">
        <v>20000</v>
      </c>
      <c r="E66" s="13">
        <v>13559</v>
      </c>
      <c r="F66" s="5">
        <v>45366</v>
      </c>
      <c r="G66" s="5">
        <v>46520</v>
      </c>
      <c r="H66" s="14" t="s">
        <v>150</v>
      </c>
      <c r="J66" s="16">
        <v>13500</v>
      </c>
    </row>
    <row r="67" spans="1:10" ht="13.5" thickTop="1" x14ac:dyDescent="0.2">
      <c r="I67" s="16"/>
    </row>
    <row r="68" spans="1:10" x14ac:dyDescent="0.2">
      <c r="I68" s="16"/>
    </row>
    <row r="69" spans="1:10" x14ac:dyDescent="0.2">
      <c r="I69" s="16"/>
    </row>
    <row r="70" spans="1:10" x14ac:dyDescent="0.2">
      <c r="I70" s="16"/>
    </row>
  </sheetData>
  <mergeCells count="1">
    <mergeCell ref="A1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D681F-0DF8-4F04-A54A-0DF12CD85F87}">
  <dimension ref="A1:O123"/>
  <sheetViews>
    <sheetView tabSelected="1" topLeftCell="A82" workbookViewId="0">
      <selection activeCell="F104" sqref="F104"/>
    </sheetView>
  </sheetViews>
  <sheetFormatPr defaultRowHeight="15" x14ac:dyDescent="0.25"/>
  <cols>
    <col min="2" max="2" width="7.85546875" bestFit="1" customWidth="1"/>
    <col min="3" max="3" width="6.42578125" bestFit="1" customWidth="1"/>
    <col min="4" max="4" width="26.7109375" bestFit="1" customWidth="1"/>
    <col min="5" max="5" width="26.7109375" customWidth="1"/>
    <col min="6" max="6" width="22.5703125" bestFit="1" customWidth="1"/>
    <col min="7" max="7" width="13.5703125" bestFit="1" customWidth="1"/>
    <col min="8" max="8" width="16.5703125" bestFit="1" customWidth="1"/>
    <col min="9" max="9" width="15.7109375" bestFit="1" customWidth="1"/>
    <col min="10" max="10" width="17.5703125" bestFit="1" customWidth="1"/>
    <col min="11" max="11" width="14.5703125" bestFit="1" customWidth="1"/>
    <col min="12" max="12" width="17.42578125" bestFit="1" customWidth="1"/>
    <col min="13" max="13" width="19.42578125" bestFit="1" customWidth="1"/>
    <col min="14" max="14" width="14.28515625" bestFit="1" customWidth="1"/>
    <col min="15" max="15" width="5.7109375" bestFit="1" customWidth="1"/>
    <col min="16" max="16" width="3.28515625" bestFit="1" customWidth="1"/>
    <col min="17" max="17" width="11.7109375" bestFit="1" customWidth="1"/>
    <col min="18" max="18" width="13.7109375" bestFit="1" customWidth="1"/>
  </cols>
  <sheetData>
    <row r="1" spans="1:15" x14ac:dyDescent="0.25">
      <c r="A1" s="27" t="s">
        <v>203</v>
      </c>
      <c r="B1" s="27" t="s">
        <v>162</v>
      </c>
      <c r="C1" s="27" t="s">
        <v>152</v>
      </c>
      <c r="D1" s="27" t="s">
        <v>1</v>
      </c>
      <c r="E1" s="27" t="s">
        <v>164</v>
      </c>
      <c r="F1" s="27" t="s">
        <v>153</v>
      </c>
      <c r="G1" s="27" t="s">
        <v>154</v>
      </c>
      <c r="H1" s="27" t="s">
        <v>155</v>
      </c>
      <c r="I1" s="27" t="s">
        <v>156</v>
      </c>
      <c r="J1" s="27" t="s">
        <v>157</v>
      </c>
      <c r="K1" s="27" t="s">
        <v>158</v>
      </c>
      <c r="L1" s="27" t="s">
        <v>159</v>
      </c>
      <c r="M1" s="27" t="s">
        <v>168</v>
      </c>
      <c r="N1" s="27" t="s">
        <v>165</v>
      </c>
    </row>
    <row r="2" spans="1:15" x14ac:dyDescent="0.25">
      <c r="A2" s="27">
        <v>1</v>
      </c>
      <c r="B2" s="27" t="s">
        <v>8</v>
      </c>
      <c r="C2" s="27" t="s">
        <v>163</v>
      </c>
      <c r="D2" s="27" t="s">
        <v>9</v>
      </c>
      <c r="E2" s="27" t="s">
        <v>204</v>
      </c>
      <c r="F2" s="28" t="s">
        <v>10</v>
      </c>
      <c r="G2" s="27">
        <v>50000</v>
      </c>
      <c r="H2" s="27">
        <v>13559</v>
      </c>
      <c r="I2" s="30">
        <v>45366</v>
      </c>
      <c r="J2" s="30">
        <v>11495</v>
      </c>
      <c r="K2" s="27"/>
      <c r="L2" s="27" t="s">
        <v>166</v>
      </c>
      <c r="M2" s="27" t="s">
        <v>169</v>
      </c>
      <c r="N2" s="27"/>
      <c r="O2" s="26"/>
    </row>
    <row r="3" spans="1:15" x14ac:dyDescent="0.25">
      <c r="A3" s="27">
        <v>2</v>
      </c>
      <c r="B3" s="27" t="s">
        <v>8</v>
      </c>
      <c r="C3" s="27" t="s">
        <v>163</v>
      </c>
      <c r="D3" s="27" t="s">
        <v>9</v>
      </c>
      <c r="E3" s="27" t="s">
        <v>171</v>
      </c>
      <c r="F3" s="27" t="s">
        <v>12</v>
      </c>
      <c r="G3" s="27">
        <v>15000</v>
      </c>
      <c r="H3" s="27">
        <v>13559</v>
      </c>
      <c r="I3" s="30">
        <v>45366</v>
      </c>
      <c r="J3" s="30">
        <v>46270</v>
      </c>
      <c r="K3" s="27"/>
      <c r="L3" s="27" t="s">
        <v>167</v>
      </c>
      <c r="M3" s="32" t="s">
        <v>56</v>
      </c>
      <c r="N3" s="27"/>
      <c r="O3" s="26"/>
    </row>
    <row r="4" spans="1:15" x14ac:dyDescent="0.25">
      <c r="A4" s="27">
        <v>3</v>
      </c>
      <c r="B4" s="27" t="s">
        <v>8</v>
      </c>
      <c r="C4" s="27" t="s">
        <v>163</v>
      </c>
      <c r="D4" s="27" t="s">
        <v>14</v>
      </c>
      <c r="E4" s="27" t="s">
        <v>205</v>
      </c>
      <c r="F4" s="27" t="s">
        <v>15</v>
      </c>
      <c r="G4" s="27">
        <v>10000</v>
      </c>
      <c r="H4" s="33">
        <v>13559</v>
      </c>
      <c r="I4" s="30">
        <v>45366</v>
      </c>
      <c r="J4" s="30">
        <v>46020</v>
      </c>
      <c r="K4" s="27"/>
      <c r="L4" s="27" t="s">
        <v>167</v>
      </c>
      <c r="M4" s="32" t="s">
        <v>56</v>
      </c>
      <c r="N4" s="27"/>
      <c r="O4" s="26"/>
    </row>
    <row r="5" spans="1:15" x14ac:dyDescent="0.25">
      <c r="A5" s="27">
        <v>4</v>
      </c>
      <c r="B5" s="27" t="s">
        <v>8</v>
      </c>
      <c r="C5" s="27" t="s">
        <v>163</v>
      </c>
      <c r="D5" s="27" t="s">
        <v>14</v>
      </c>
      <c r="E5" s="27" t="s">
        <v>172</v>
      </c>
      <c r="F5" s="27" t="s">
        <v>18</v>
      </c>
      <c r="G5" s="27">
        <v>25000</v>
      </c>
      <c r="H5" s="27">
        <v>13559</v>
      </c>
      <c r="I5" s="30">
        <v>45366</v>
      </c>
      <c r="J5" s="30">
        <v>46770</v>
      </c>
      <c r="K5" s="27"/>
      <c r="L5" s="27" t="s">
        <v>166</v>
      </c>
      <c r="M5" s="27" t="s">
        <v>169</v>
      </c>
      <c r="N5" s="27"/>
      <c r="O5" s="26"/>
    </row>
    <row r="6" spans="1:15" x14ac:dyDescent="0.25">
      <c r="A6" s="27">
        <v>3</v>
      </c>
      <c r="B6" s="27" t="s">
        <v>8</v>
      </c>
      <c r="C6" s="27" t="s">
        <v>163</v>
      </c>
      <c r="D6" s="27" t="s">
        <v>14</v>
      </c>
      <c r="E6" s="27" t="s">
        <v>206</v>
      </c>
      <c r="F6" s="27" t="s">
        <v>21</v>
      </c>
      <c r="G6" s="27">
        <v>10000</v>
      </c>
      <c r="H6" s="33">
        <v>13559</v>
      </c>
      <c r="I6" s="30">
        <v>45366</v>
      </c>
      <c r="J6" s="30">
        <v>46020</v>
      </c>
      <c r="K6" s="27"/>
      <c r="L6" s="27" t="s">
        <v>167</v>
      </c>
      <c r="M6" s="32" t="s">
        <v>56</v>
      </c>
      <c r="N6" s="27"/>
      <c r="O6" s="26"/>
    </row>
    <row r="7" spans="1:15" x14ac:dyDescent="0.25">
      <c r="A7" s="27">
        <v>5</v>
      </c>
      <c r="B7" s="27" t="s">
        <v>8</v>
      </c>
      <c r="C7" s="27" t="s">
        <v>163</v>
      </c>
      <c r="D7" s="27" t="s">
        <v>14</v>
      </c>
      <c r="E7" s="27" t="s">
        <v>207</v>
      </c>
      <c r="F7" s="28" t="s">
        <v>250</v>
      </c>
      <c r="G7" s="27">
        <v>50000</v>
      </c>
      <c r="H7" s="27">
        <v>13559</v>
      </c>
      <c r="I7" s="30">
        <v>45366</v>
      </c>
      <c r="J7" s="30">
        <v>11495</v>
      </c>
      <c r="K7" s="27"/>
      <c r="L7" s="27" t="s">
        <v>167</v>
      </c>
      <c r="M7" s="32" t="s">
        <v>56</v>
      </c>
      <c r="N7" s="27"/>
      <c r="O7" s="26"/>
    </row>
    <row r="8" spans="1:15" x14ac:dyDescent="0.25">
      <c r="A8" s="27">
        <v>6</v>
      </c>
      <c r="B8" s="27" t="s">
        <v>8</v>
      </c>
      <c r="C8" s="27" t="s">
        <v>163</v>
      </c>
      <c r="D8" s="27" t="s">
        <v>14</v>
      </c>
      <c r="E8" s="27" t="s">
        <v>208</v>
      </c>
      <c r="F8" s="27" t="s">
        <v>24</v>
      </c>
      <c r="G8" s="27">
        <v>50000</v>
      </c>
      <c r="H8" s="27">
        <v>13559</v>
      </c>
      <c r="I8" s="30">
        <v>45366</v>
      </c>
      <c r="J8" s="30">
        <v>11495</v>
      </c>
      <c r="K8" s="27"/>
      <c r="L8" s="27" t="s">
        <v>167</v>
      </c>
      <c r="M8" s="32" t="s">
        <v>56</v>
      </c>
      <c r="N8" s="27"/>
      <c r="O8" s="26"/>
    </row>
    <row r="9" spans="1:15" x14ac:dyDescent="0.25">
      <c r="A9" s="27">
        <v>7</v>
      </c>
      <c r="B9" s="27" t="s">
        <v>8</v>
      </c>
      <c r="C9" s="27" t="s">
        <v>163</v>
      </c>
      <c r="D9" s="27" t="s">
        <v>14</v>
      </c>
      <c r="E9" s="27" t="s">
        <v>209</v>
      </c>
      <c r="F9" s="27" t="s">
        <v>26</v>
      </c>
      <c r="G9" s="27">
        <v>25000</v>
      </c>
      <c r="H9" s="27">
        <v>13559</v>
      </c>
      <c r="I9" s="30">
        <v>45366</v>
      </c>
      <c r="J9" s="30">
        <v>46770</v>
      </c>
      <c r="K9" s="27"/>
      <c r="L9" s="27" t="s">
        <v>167</v>
      </c>
      <c r="M9" s="32" t="s">
        <v>56</v>
      </c>
      <c r="N9" s="27"/>
      <c r="O9" s="26"/>
    </row>
    <row r="10" spans="1:15" x14ac:dyDescent="0.25">
      <c r="A10" s="27">
        <v>8</v>
      </c>
      <c r="B10" s="27" t="s">
        <v>8</v>
      </c>
      <c r="C10" s="27" t="s">
        <v>163</v>
      </c>
      <c r="D10" s="27" t="s">
        <v>14</v>
      </c>
      <c r="E10" s="27" t="s">
        <v>173</v>
      </c>
      <c r="F10" s="28" t="s">
        <v>251</v>
      </c>
      <c r="G10" s="27">
        <v>25000</v>
      </c>
      <c r="H10" s="27">
        <v>13559</v>
      </c>
      <c r="I10" s="30">
        <v>45366</v>
      </c>
      <c r="J10" s="30">
        <v>46770</v>
      </c>
      <c r="K10" s="27"/>
      <c r="L10" s="27" t="s">
        <v>166</v>
      </c>
      <c r="M10" s="27" t="s">
        <v>169</v>
      </c>
      <c r="N10" s="27"/>
      <c r="O10" s="26"/>
    </row>
    <row r="11" spans="1:15" x14ac:dyDescent="0.25">
      <c r="A11" s="27">
        <v>9</v>
      </c>
      <c r="B11" s="27" t="s">
        <v>8</v>
      </c>
      <c r="C11" s="27" t="s">
        <v>163</v>
      </c>
      <c r="D11" s="27" t="s">
        <v>14</v>
      </c>
      <c r="E11" s="27" t="s">
        <v>174</v>
      </c>
      <c r="F11" s="27" t="s">
        <v>30</v>
      </c>
      <c r="G11" s="27">
        <v>25000</v>
      </c>
      <c r="H11" s="27">
        <v>13559</v>
      </c>
      <c r="I11" s="30">
        <v>45366</v>
      </c>
      <c r="J11" s="30">
        <v>46770</v>
      </c>
      <c r="K11" s="27"/>
      <c r="L11" s="27" t="s">
        <v>166</v>
      </c>
      <c r="M11" s="27" t="s">
        <v>169</v>
      </c>
      <c r="N11" s="27"/>
      <c r="O11" s="26"/>
    </row>
    <row r="12" spans="1:15" x14ac:dyDescent="0.25">
      <c r="A12" s="27">
        <v>9</v>
      </c>
      <c r="B12" s="27" t="s">
        <v>8</v>
      </c>
      <c r="C12" s="27" t="s">
        <v>163</v>
      </c>
      <c r="D12" s="27" t="s">
        <v>14</v>
      </c>
      <c r="E12" s="27" t="s">
        <v>175</v>
      </c>
      <c r="F12" s="27" t="s">
        <v>32</v>
      </c>
      <c r="G12" s="27">
        <v>25000</v>
      </c>
      <c r="H12" s="27">
        <v>13559</v>
      </c>
      <c r="I12" s="30">
        <v>45366</v>
      </c>
      <c r="J12" s="30">
        <v>46770</v>
      </c>
      <c r="K12" s="27"/>
      <c r="L12" s="27" t="s">
        <v>166</v>
      </c>
      <c r="M12" s="27" t="s">
        <v>169</v>
      </c>
      <c r="N12" s="27"/>
      <c r="O12" s="26"/>
    </row>
    <row r="13" spans="1:15" x14ac:dyDescent="0.25">
      <c r="A13" s="27">
        <v>10</v>
      </c>
      <c r="B13" s="27" t="s">
        <v>8</v>
      </c>
      <c r="C13" s="27" t="s">
        <v>163</v>
      </c>
      <c r="D13" s="27" t="s">
        <v>14</v>
      </c>
      <c r="E13" s="27" t="s">
        <v>210</v>
      </c>
      <c r="F13" s="27" t="s">
        <v>34</v>
      </c>
      <c r="G13" s="27">
        <v>5000</v>
      </c>
      <c r="H13" s="27">
        <v>777</v>
      </c>
      <c r="I13" s="30">
        <v>46149</v>
      </c>
      <c r="J13" s="30">
        <v>46409</v>
      </c>
      <c r="K13" s="27"/>
      <c r="L13" s="27" t="s">
        <v>167</v>
      </c>
      <c r="M13" s="32" t="s">
        <v>56</v>
      </c>
      <c r="N13" s="27"/>
      <c r="O13" s="26"/>
    </row>
    <row r="14" spans="1:15" x14ac:dyDescent="0.25">
      <c r="A14" s="27">
        <v>11</v>
      </c>
      <c r="B14" s="27" t="s">
        <v>8</v>
      </c>
      <c r="C14" s="27" t="s">
        <v>163</v>
      </c>
      <c r="D14" s="27" t="s">
        <v>14</v>
      </c>
      <c r="E14" s="27" t="s">
        <v>39</v>
      </c>
      <c r="F14" s="27" t="s">
        <v>37</v>
      </c>
      <c r="G14" s="27">
        <v>5000</v>
      </c>
      <c r="H14" s="27">
        <v>3665</v>
      </c>
      <c r="I14" s="30">
        <v>45941</v>
      </c>
      <c r="J14" s="30">
        <v>46265</v>
      </c>
      <c r="K14" s="27"/>
      <c r="L14" s="27" t="s">
        <v>166</v>
      </c>
      <c r="M14" s="27" t="s">
        <v>169</v>
      </c>
      <c r="N14" s="27"/>
      <c r="O14" s="26"/>
    </row>
    <row r="15" spans="1:15" x14ac:dyDescent="0.25">
      <c r="A15" s="27">
        <v>12</v>
      </c>
      <c r="B15" s="27" t="s">
        <v>8</v>
      </c>
      <c r="C15" s="27" t="s">
        <v>163</v>
      </c>
      <c r="D15" s="27" t="s">
        <v>14</v>
      </c>
      <c r="E15" s="27" t="s">
        <v>176</v>
      </c>
      <c r="F15" s="27" t="s">
        <v>40</v>
      </c>
      <c r="G15" s="27">
        <v>2500</v>
      </c>
      <c r="H15" s="33">
        <v>3665</v>
      </c>
      <c r="I15" s="30">
        <v>45941</v>
      </c>
      <c r="J15" s="30">
        <v>46140</v>
      </c>
      <c r="K15" s="27"/>
      <c r="L15" s="27" t="s">
        <v>166</v>
      </c>
      <c r="M15" s="27" t="s">
        <v>169</v>
      </c>
      <c r="N15" s="27"/>
      <c r="O15" s="26"/>
    </row>
    <row r="16" spans="1:15" x14ac:dyDescent="0.25">
      <c r="A16" s="27">
        <v>13</v>
      </c>
      <c r="B16" s="27" t="s">
        <v>8</v>
      </c>
      <c r="C16" s="27" t="s">
        <v>163</v>
      </c>
      <c r="D16" s="27" t="s">
        <v>14</v>
      </c>
      <c r="E16" s="27" t="s">
        <v>211</v>
      </c>
      <c r="F16" s="27" t="s">
        <v>43</v>
      </c>
      <c r="G16" s="27">
        <v>1250</v>
      </c>
      <c r="H16" s="27">
        <v>439</v>
      </c>
      <c r="I16" s="30">
        <v>46165</v>
      </c>
      <c r="J16" s="30">
        <v>46238</v>
      </c>
      <c r="K16" s="27"/>
      <c r="L16" s="27" t="s">
        <v>166</v>
      </c>
      <c r="M16" s="27" t="s">
        <v>170</v>
      </c>
      <c r="N16" s="27"/>
      <c r="O16" s="26"/>
    </row>
    <row r="17" spans="1:15" x14ac:dyDescent="0.25">
      <c r="A17" s="27">
        <v>14</v>
      </c>
      <c r="B17" s="27" t="s">
        <v>8</v>
      </c>
      <c r="C17" s="27" t="s">
        <v>163</v>
      </c>
      <c r="D17" s="27" t="s">
        <v>14</v>
      </c>
      <c r="E17" s="27" t="s">
        <v>212</v>
      </c>
      <c r="F17" s="27" t="s">
        <v>46</v>
      </c>
      <c r="G17" s="27">
        <v>1250</v>
      </c>
      <c r="H17" s="27">
        <v>439</v>
      </c>
      <c r="I17" s="30">
        <v>46165</v>
      </c>
      <c r="J17" s="30">
        <v>46238</v>
      </c>
      <c r="K17" s="27"/>
      <c r="L17" s="27" t="s">
        <v>167</v>
      </c>
      <c r="M17" s="32" t="s">
        <v>56</v>
      </c>
      <c r="N17" s="27"/>
      <c r="O17" s="26"/>
    </row>
    <row r="18" spans="1:15" x14ac:dyDescent="0.25">
      <c r="A18" s="27">
        <v>15</v>
      </c>
      <c r="B18" s="27" t="s">
        <v>8</v>
      </c>
      <c r="C18" s="27" t="s">
        <v>163</v>
      </c>
      <c r="D18" s="27" t="s">
        <v>14</v>
      </c>
      <c r="E18" s="27" t="s">
        <v>177</v>
      </c>
      <c r="F18" s="28" t="s">
        <v>253</v>
      </c>
      <c r="G18" s="27">
        <v>5000</v>
      </c>
      <c r="H18" s="27">
        <v>3665</v>
      </c>
      <c r="I18" s="30">
        <v>45941</v>
      </c>
      <c r="J18" s="30">
        <v>46265</v>
      </c>
      <c r="K18" s="27"/>
      <c r="L18" s="27" t="s">
        <v>166</v>
      </c>
      <c r="M18" s="27" t="s">
        <v>170</v>
      </c>
      <c r="N18" s="27"/>
      <c r="O18" s="26"/>
    </row>
    <row r="19" spans="1:15" x14ac:dyDescent="0.25">
      <c r="A19" s="27">
        <v>15</v>
      </c>
      <c r="B19" s="27" t="s">
        <v>8</v>
      </c>
      <c r="C19" s="27" t="s">
        <v>163</v>
      </c>
      <c r="D19" s="27" t="s">
        <v>14</v>
      </c>
      <c r="E19" s="27" t="s">
        <v>178</v>
      </c>
      <c r="F19" s="28" t="s">
        <v>254</v>
      </c>
      <c r="G19" s="27">
        <v>5000</v>
      </c>
      <c r="H19" s="27">
        <v>3665</v>
      </c>
      <c r="I19" s="30">
        <v>45941</v>
      </c>
      <c r="J19" s="30">
        <v>46265</v>
      </c>
      <c r="K19" s="27"/>
      <c r="L19" s="27" t="s">
        <v>166</v>
      </c>
      <c r="M19" s="27" t="s">
        <v>170</v>
      </c>
      <c r="N19" s="27"/>
      <c r="O19" s="26"/>
    </row>
    <row r="20" spans="1:15" x14ac:dyDescent="0.25">
      <c r="A20" s="27">
        <v>16</v>
      </c>
      <c r="B20" s="27" t="s">
        <v>8</v>
      </c>
      <c r="C20" s="27" t="s">
        <v>163</v>
      </c>
      <c r="D20" s="27" t="s">
        <v>14</v>
      </c>
      <c r="E20" s="27" t="s">
        <v>179</v>
      </c>
      <c r="F20" s="27" t="s">
        <v>52</v>
      </c>
      <c r="G20" s="27">
        <v>7000</v>
      </c>
      <c r="H20" s="27">
        <v>6525</v>
      </c>
      <c r="I20" s="30">
        <v>45764</v>
      </c>
      <c r="J20" s="30">
        <v>46222</v>
      </c>
      <c r="K20" s="27"/>
      <c r="L20" s="27" t="s">
        <v>166</v>
      </c>
      <c r="M20" s="27" t="s">
        <v>169</v>
      </c>
      <c r="N20" s="27"/>
      <c r="O20" s="26"/>
    </row>
    <row r="21" spans="1:15" x14ac:dyDescent="0.25">
      <c r="A21" s="27">
        <v>17</v>
      </c>
      <c r="B21" s="27" t="s">
        <v>8</v>
      </c>
      <c r="C21" s="27" t="s">
        <v>163</v>
      </c>
      <c r="D21" s="27" t="s">
        <v>14</v>
      </c>
      <c r="E21" s="27" t="s">
        <v>213</v>
      </c>
      <c r="F21" s="27" t="s">
        <v>55</v>
      </c>
      <c r="G21" s="27">
        <v>6000</v>
      </c>
      <c r="H21" s="27">
        <v>3229</v>
      </c>
      <c r="I21" s="30">
        <v>45976</v>
      </c>
      <c r="J21" s="30">
        <v>46336</v>
      </c>
      <c r="K21" s="27"/>
      <c r="L21" s="27" t="s">
        <v>167</v>
      </c>
      <c r="M21" s="32" t="s">
        <v>56</v>
      </c>
      <c r="N21" s="27"/>
      <c r="O21" s="26"/>
    </row>
    <row r="22" spans="1:15" x14ac:dyDescent="0.25">
      <c r="A22" s="27">
        <v>18</v>
      </c>
      <c r="B22" s="27" t="s">
        <v>8</v>
      </c>
      <c r="C22" s="27" t="s">
        <v>163</v>
      </c>
      <c r="D22" s="27" t="s">
        <v>57</v>
      </c>
      <c r="E22" s="27" t="s">
        <v>180</v>
      </c>
      <c r="F22" s="27" t="s">
        <v>58</v>
      </c>
      <c r="G22" s="27">
        <v>25000</v>
      </c>
      <c r="H22" s="27">
        <v>13559</v>
      </c>
      <c r="I22" s="30">
        <v>45366</v>
      </c>
      <c r="J22" s="30">
        <v>46770</v>
      </c>
      <c r="K22" s="27"/>
      <c r="L22" s="27" t="s">
        <v>166</v>
      </c>
      <c r="M22" s="27" t="s">
        <v>169</v>
      </c>
      <c r="N22" s="27"/>
      <c r="O22" s="26"/>
    </row>
    <row r="23" spans="1:15" x14ac:dyDescent="0.25">
      <c r="A23" s="27">
        <v>18</v>
      </c>
      <c r="B23" s="27" t="s">
        <v>8</v>
      </c>
      <c r="C23" s="27" t="s">
        <v>163</v>
      </c>
      <c r="D23" s="27" t="s">
        <v>57</v>
      </c>
      <c r="E23" s="27" t="s">
        <v>181</v>
      </c>
      <c r="F23" s="27" t="s">
        <v>60</v>
      </c>
      <c r="G23" s="27">
        <v>25000</v>
      </c>
      <c r="H23" s="27">
        <v>13499</v>
      </c>
      <c r="I23" s="30">
        <v>45383</v>
      </c>
      <c r="J23" s="30">
        <v>46773</v>
      </c>
      <c r="K23" s="27"/>
      <c r="L23" s="27" t="s">
        <v>166</v>
      </c>
      <c r="M23" s="27" t="s">
        <v>169</v>
      </c>
      <c r="N23" s="27"/>
      <c r="O23" s="26"/>
    </row>
    <row r="24" spans="1:15" x14ac:dyDescent="0.25">
      <c r="A24" s="27">
        <v>19</v>
      </c>
      <c r="B24" s="27" t="s">
        <v>8</v>
      </c>
      <c r="C24" s="27" t="s">
        <v>163</v>
      </c>
      <c r="D24" s="27" t="s">
        <v>57</v>
      </c>
      <c r="E24" s="27" t="s">
        <v>182</v>
      </c>
      <c r="F24" s="27" t="s">
        <v>64</v>
      </c>
      <c r="G24" s="27">
        <v>25000</v>
      </c>
      <c r="H24" s="27">
        <v>6774</v>
      </c>
      <c r="I24" s="30">
        <v>45751</v>
      </c>
      <c r="J24" s="30">
        <v>47109</v>
      </c>
      <c r="K24" s="27"/>
      <c r="L24" s="27" t="s">
        <v>166</v>
      </c>
      <c r="M24" s="27" t="s">
        <v>170</v>
      </c>
      <c r="N24" s="27"/>
      <c r="O24" s="26"/>
    </row>
    <row r="25" spans="1:15" x14ac:dyDescent="0.25">
      <c r="A25" s="27">
        <v>19</v>
      </c>
      <c r="B25" s="27" t="s">
        <v>8</v>
      </c>
      <c r="C25" s="27" t="s">
        <v>163</v>
      </c>
      <c r="D25" s="27" t="s">
        <v>57</v>
      </c>
      <c r="E25" s="27" t="s">
        <v>183</v>
      </c>
      <c r="F25" s="27" t="s">
        <v>68</v>
      </c>
      <c r="G25" s="27">
        <v>25000</v>
      </c>
      <c r="H25" s="27">
        <v>13559</v>
      </c>
      <c r="I25" s="30">
        <v>45366</v>
      </c>
      <c r="J25" s="30">
        <v>46770</v>
      </c>
      <c r="K25" s="27"/>
      <c r="L25" s="27" t="s">
        <v>166</v>
      </c>
      <c r="M25" s="27" t="s">
        <v>170</v>
      </c>
      <c r="N25" s="27"/>
      <c r="O25" s="26"/>
    </row>
    <row r="26" spans="1:15" x14ac:dyDescent="0.25">
      <c r="A26" s="27">
        <v>20</v>
      </c>
      <c r="B26" s="27" t="s">
        <v>8</v>
      </c>
      <c r="C26" s="27" t="s">
        <v>163</v>
      </c>
      <c r="D26" s="27" t="s">
        <v>57</v>
      </c>
      <c r="E26" s="27" t="s">
        <v>184</v>
      </c>
      <c r="F26" s="28" t="s">
        <v>70</v>
      </c>
      <c r="G26" s="27">
        <v>7000</v>
      </c>
      <c r="H26" s="27">
        <v>5229</v>
      </c>
      <c r="I26" s="30">
        <v>45835</v>
      </c>
      <c r="J26" s="30">
        <v>46286</v>
      </c>
      <c r="K26" s="27"/>
      <c r="L26" s="27" t="s">
        <v>166</v>
      </c>
      <c r="M26" s="27" t="s">
        <v>169</v>
      </c>
      <c r="N26" s="27"/>
      <c r="O26" s="26"/>
    </row>
    <row r="27" spans="1:15" x14ac:dyDescent="0.25">
      <c r="A27" s="27">
        <v>20</v>
      </c>
      <c r="B27" s="27" t="s">
        <v>8</v>
      </c>
      <c r="C27" s="27" t="s">
        <v>163</v>
      </c>
      <c r="D27" s="27" t="s">
        <v>57</v>
      </c>
      <c r="E27" s="27" t="s">
        <v>73</v>
      </c>
      <c r="F27" s="28" t="s">
        <v>72</v>
      </c>
      <c r="G27" s="27">
        <v>7000</v>
      </c>
      <c r="H27" s="27">
        <v>5229</v>
      </c>
      <c r="I27" s="30">
        <v>45835</v>
      </c>
      <c r="J27" s="30">
        <v>46286</v>
      </c>
      <c r="K27" s="27"/>
      <c r="L27" s="27" t="s">
        <v>166</v>
      </c>
      <c r="M27" s="27" t="s">
        <v>169</v>
      </c>
      <c r="N27" s="27"/>
      <c r="O27" s="26"/>
    </row>
    <row r="28" spans="1:15" x14ac:dyDescent="0.25">
      <c r="A28" s="27">
        <v>21</v>
      </c>
      <c r="B28" s="27" t="s">
        <v>8</v>
      </c>
      <c r="C28" s="27" t="s">
        <v>163</v>
      </c>
      <c r="D28" s="27" t="s">
        <v>57</v>
      </c>
      <c r="E28" s="27" t="s">
        <v>214</v>
      </c>
      <c r="F28" s="27" t="s">
        <v>74</v>
      </c>
      <c r="G28" s="27">
        <v>50000</v>
      </c>
      <c r="H28" s="27">
        <v>13559</v>
      </c>
      <c r="I28" s="30">
        <v>45366</v>
      </c>
      <c r="J28" s="30">
        <v>11495</v>
      </c>
      <c r="K28" s="27"/>
      <c r="L28" s="27" t="s">
        <v>167</v>
      </c>
      <c r="M28" s="32" t="s">
        <v>56</v>
      </c>
      <c r="N28" s="27"/>
      <c r="O28" s="26"/>
    </row>
    <row r="29" spans="1:15" x14ac:dyDescent="0.25">
      <c r="A29" s="27">
        <v>22</v>
      </c>
      <c r="B29" s="27" t="s">
        <v>8</v>
      </c>
      <c r="C29" s="27" t="s">
        <v>163</v>
      </c>
      <c r="D29" s="27" t="s">
        <v>57</v>
      </c>
      <c r="E29" s="27" t="s">
        <v>215</v>
      </c>
      <c r="F29" s="27" t="s">
        <v>76</v>
      </c>
      <c r="G29" s="27">
        <v>50000</v>
      </c>
      <c r="H29" s="27">
        <v>13559</v>
      </c>
      <c r="I29" s="30">
        <v>45366</v>
      </c>
      <c r="J29" s="30">
        <v>11495</v>
      </c>
      <c r="K29" s="27"/>
      <c r="L29" s="27" t="s">
        <v>167</v>
      </c>
      <c r="M29" s="32" t="s">
        <v>56</v>
      </c>
      <c r="N29" s="27"/>
      <c r="O29" s="26"/>
    </row>
    <row r="30" spans="1:15" x14ac:dyDescent="0.25">
      <c r="A30" s="27">
        <v>23</v>
      </c>
      <c r="B30" s="27" t="s">
        <v>8</v>
      </c>
      <c r="C30" s="27" t="s">
        <v>163</v>
      </c>
      <c r="D30" s="27" t="s">
        <v>57</v>
      </c>
      <c r="E30" s="27" t="s">
        <v>216</v>
      </c>
      <c r="F30" s="27" t="s">
        <v>78</v>
      </c>
      <c r="G30" s="27">
        <v>50000</v>
      </c>
      <c r="H30" s="27">
        <v>13559</v>
      </c>
      <c r="I30" s="30">
        <v>45366</v>
      </c>
      <c r="J30" s="30">
        <v>11495</v>
      </c>
      <c r="K30" s="27"/>
      <c r="L30" s="27" t="s">
        <v>167</v>
      </c>
      <c r="M30" s="32" t="s">
        <v>56</v>
      </c>
      <c r="N30" s="27"/>
      <c r="O30" s="26"/>
    </row>
    <row r="31" spans="1:15" x14ac:dyDescent="0.25">
      <c r="A31" s="27">
        <v>24</v>
      </c>
      <c r="B31" s="27" t="s">
        <v>8</v>
      </c>
      <c r="C31" s="27" t="s">
        <v>163</v>
      </c>
      <c r="D31" s="27" t="s">
        <v>57</v>
      </c>
      <c r="E31" s="27" t="s">
        <v>217</v>
      </c>
      <c r="F31" s="27" t="s">
        <v>80</v>
      </c>
      <c r="G31" s="27">
        <v>5000</v>
      </c>
      <c r="H31" s="33">
        <v>13559</v>
      </c>
      <c r="I31" s="30">
        <v>45366</v>
      </c>
      <c r="J31" s="30">
        <v>45770</v>
      </c>
      <c r="K31" s="27"/>
      <c r="L31" s="27" t="s">
        <v>167</v>
      </c>
      <c r="M31" s="32" t="s">
        <v>56</v>
      </c>
      <c r="N31" s="27"/>
      <c r="O31" s="26"/>
    </row>
    <row r="32" spans="1:15" x14ac:dyDescent="0.25">
      <c r="A32" s="27">
        <v>25</v>
      </c>
      <c r="B32" s="27" t="s">
        <v>8</v>
      </c>
      <c r="C32" s="27" t="s">
        <v>163</v>
      </c>
      <c r="D32" s="27" t="s">
        <v>57</v>
      </c>
      <c r="E32" s="27" t="s">
        <v>218</v>
      </c>
      <c r="F32" s="28" t="s">
        <v>258</v>
      </c>
      <c r="G32" s="27">
        <v>3000</v>
      </c>
      <c r="H32" s="33">
        <v>7603</v>
      </c>
      <c r="I32" s="30">
        <v>45699</v>
      </c>
      <c r="J32" s="30">
        <v>45968</v>
      </c>
      <c r="K32" s="27"/>
      <c r="L32" s="27" t="s">
        <v>167</v>
      </c>
      <c r="M32" s="32" t="s">
        <v>56</v>
      </c>
      <c r="N32" s="27"/>
      <c r="O32" s="26"/>
    </row>
    <row r="33" spans="1:15" s="15" customFormat="1" x14ac:dyDescent="0.25">
      <c r="A33" s="27">
        <v>26</v>
      </c>
      <c r="B33" s="27" t="s">
        <v>8</v>
      </c>
      <c r="C33" s="27" t="s">
        <v>163</v>
      </c>
      <c r="D33" s="27" t="s">
        <v>83</v>
      </c>
      <c r="E33" s="27" t="s">
        <v>185</v>
      </c>
      <c r="F33" s="27" t="s">
        <v>84</v>
      </c>
      <c r="G33" s="27">
        <v>25000</v>
      </c>
      <c r="H33" s="27">
        <v>13559</v>
      </c>
      <c r="I33" s="30">
        <v>45366</v>
      </c>
      <c r="J33" s="30">
        <v>46770</v>
      </c>
      <c r="K33" s="27"/>
      <c r="L33" s="27" t="s">
        <v>166</v>
      </c>
      <c r="M33" s="27" t="s">
        <v>169</v>
      </c>
      <c r="N33" s="27"/>
    </row>
    <row r="34" spans="1:15" x14ac:dyDescent="0.25">
      <c r="A34" s="27">
        <v>27</v>
      </c>
      <c r="B34" s="27" t="s">
        <v>8</v>
      </c>
      <c r="C34" s="27" t="s">
        <v>163</v>
      </c>
      <c r="D34" s="27" t="s">
        <v>83</v>
      </c>
      <c r="E34" s="27" t="s">
        <v>186</v>
      </c>
      <c r="F34" s="27" t="s">
        <v>86</v>
      </c>
      <c r="G34" s="27">
        <v>25000</v>
      </c>
      <c r="H34" s="27">
        <v>13559</v>
      </c>
      <c r="I34" s="30">
        <v>45366</v>
      </c>
      <c r="J34" s="30">
        <v>46770</v>
      </c>
      <c r="K34" s="27"/>
      <c r="L34" s="27" t="s">
        <v>167</v>
      </c>
      <c r="M34" s="32" t="s">
        <v>56</v>
      </c>
      <c r="N34" s="27"/>
      <c r="O34" s="26"/>
    </row>
    <row r="35" spans="1:15" x14ac:dyDescent="0.25">
      <c r="A35" s="27">
        <v>28</v>
      </c>
      <c r="B35" s="27" t="s">
        <v>8</v>
      </c>
      <c r="C35" s="27" t="s">
        <v>163</v>
      </c>
      <c r="D35" s="27" t="s">
        <v>83</v>
      </c>
      <c r="E35" s="27" t="s">
        <v>187</v>
      </c>
      <c r="F35" s="27" t="s">
        <v>88</v>
      </c>
      <c r="G35" s="27">
        <v>25000</v>
      </c>
      <c r="H35" s="27">
        <v>13559</v>
      </c>
      <c r="I35" s="30">
        <v>45366</v>
      </c>
      <c r="J35" s="30">
        <v>46770</v>
      </c>
      <c r="K35" s="27"/>
      <c r="L35" s="27" t="s">
        <v>166</v>
      </c>
      <c r="M35" s="27" t="s">
        <v>170</v>
      </c>
      <c r="N35" s="27"/>
      <c r="O35" s="26"/>
    </row>
    <row r="36" spans="1:15" x14ac:dyDescent="0.25">
      <c r="A36" s="27">
        <v>29</v>
      </c>
      <c r="B36" s="27" t="s">
        <v>8</v>
      </c>
      <c r="C36" s="27" t="s">
        <v>163</v>
      </c>
      <c r="D36" s="27" t="s">
        <v>83</v>
      </c>
      <c r="E36" s="27" t="s">
        <v>219</v>
      </c>
      <c r="F36" s="27" t="s">
        <v>90</v>
      </c>
      <c r="G36" s="27">
        <v>12500</v>
      </c>
      <c r="H36" s="33">
        <v>13559</v>
      </c>
      <c r="I36" s="30">
        <v>45366</v>
      </c>
      <c r="J36" s="30">
        <v>46145</v>
      </c>
      <c r="K36" s="27"/>
      <c r="L36" s="27" t="s">
        <v>167</v>
      </c>
      <c r="M36" s="32" t="s">
        <v>56</v>
      </c>
      <c r="N36" s="27"/>
      <c r="O36" s="26"/>
    </row>
    <row r="37" spans="1:15" s="15" customFormat="1" x14ac:dyDescent="0.25">
      <c r="A37" s="27">
        <v>30</v>
      </c>
      <c r="B37" s="27" t="s">
        <v>8</v>
      </c>
      <c r="C37" s="27" t="s">
        <v>163</v>
      </c>
      <c r="D37" s="27" t="s">
        <v>83</v>
      </c>
      <c r="E37" s="27" t="s">
        <v>188</v>
      </c>
      <c r="F37" s="27" t="s">
        <v>92</v>
      </c>
      <c r="G37" s="27">
        <v>50000</v>
      </c>
      <c r="H37" s="27">
        <v>13559</v>
      </c>
      <c r="I37" s="30">
        <v>45366</v>
      </c>
      <c r="J37" s="30">
        <v>11495</v>
      </c>
      <c r="K37" s="27"/>
      <c r="L37" s="27" t="s">
        <v>166</v>
      </c>
      <c r="M37" s="27" t="s">
        <v>169</v>
      </c>
      <c r="N37" s="27"/>
    </row>
    <row r="38" spans="1:15" s="15" customFormat="1" x14ac:dyDescent="0.25">
      <c r="A38" s="27">
        <v>31</v>
      </c>
      <c r="B38" s="27" t="s">
        <v>8</v>
      </c>
      <c r="C38" s="27" t="s">
        <v>163</v>
      </c>
      <c r="D38" s="27" t="s">
        <v>83</v>
      </c>
      <c r="E38" s="27" t="s">
        <v>96</v>
      </c>
      <c r="F38" s="27" t="s">
        <v>94</v>
      </c>
      <c r="G38" s="27">
        <v>25000</v>
      </c>
      <c r="H38" s="27">
        <v>9516</v>
      </c>
      <c r="I38" s="30">
        <v>45593</v>
      </c>
      <c r="J38" s="30">
        <v>46972</v>
      </c>
      <c r="K38" s="27"/>
      <c r="L38" s="27" t="s">
        <v>166</v>
      </c>
      <c r="M38" s="27" t="s">
        <v>169</v>
      </c>
      <c r="N38" s="27"/>
    </row>
    <row r="39" spans="1:15" x14ac:dyDescent="0.25">
      <c r="A39" s="27">
        <v>32</v>
      </c>
      <c r="B39" s="27" t="s">
        <v>8</v>
      </c>
      <c r="C39" s="27" t="s">
        <v>163</v>
      </c>
      <c r="D39" s="27" t="s">
        <v>83</v>
      </c>
      <c r="E39" s="27" t="s">
        <v>189</v>
      </c>
      <c r="F39" s="27" t="s">
        <v>97</v>
      </c>
      <c r="G39" s="27">
        <v>25000</v>
      </c>
      <c r="H39" s="27">
        <v>2586</v>
      </c>
      <c r="I39" s="30">
        <v>46018</v>
      </c>
      <c r="J39" s="30">
        <v>47318</v>
      </c>
      <c r="K39" s="27"/>
      <c r="L39" s="27" t="s">
        <v>167</v>
      </c>
      <c r="M39" s="32" t="s">
        <v>56</v>
      </c>
      <c r="N39" s="27"/>
      <c r="O39" s="26"/>
    </row>
    <row r="40" spans="1:15" x14ac:dyDescent="0.25">
      <c r="A40" s="27">
        <v>33</v>
      </c>
      <c r="B40" s="27" t="s">
        <v>8</v>
      </c>
      <c r="C40" s="27" t="s">
        <v>163</v>
      </c>
      <c r="D40" s="27" t="s">
        <v>83</v>
      </c>
      <c r="E40" s="27" t="s">
        <v>220</v>
      </c>
      <c r="F40" s="27" t="s">
        <v>100</v>
      </c>
      <c r="G40" s="27">
        <v>950</v>
      </c>
      <c r="H40" s="33">
        <v>3410</v>
      </c>
      <c r="I40" s="30">
        <v>45949</v>
      </c>
      <c r="J40" s="30">
        <v>46075</v>
      </c>
      <c r="K40" s="27"/>
      <c r="L40" s="27" t="s">
        <v>167</v>
      </c>
      <c r="M40" s="32" t="s">
        <v>56</v>
      </c>
      <c r="N40" s="27"/>
      <c r="O40" s="26"/>
    </row>
    <row r="41" spans="1:15" s="15" customFormat="1" x14ac:dyDescent="0.25">
      <c r="A41" s="27">
        <v>34</v>
      </c>
      <c r="B41" s="27" t="s">
        <v>8</v>
      </c>
      <c r="C41" s="27" t="s">
        <v>163</v>
      </c>
      <c r="D41" s="27" t="s">
        <v>83</v>
      </c>
      <c r="E41" s="27" t="s">
        <v>103</v>
      </c>
      <c r="F41" s="27" t="s">
        <v>102</v>
      </c>
      <c r="G41" s="27">
        <v>7500</v>
      </c>
      <c r="H41" s="27">
        <v>439</v>
      </c>
      <c r="I41" s="30">
        <v>46165</v>
      </c>
      <c r="J41" s="30">
        <v>46551</v>
      </c>
      <c r="K41" s="27"/>
      <c r="L41" s="27" t="s">
        <v>166</v>
      </c>
      <c r="M41" s="27" t="s">
        <v>169</v>
      </c>
      <c r="N41" s="27"/>
    </row>
    <row r="42" spans="1:15" s="15" customFormat="1" x14ac:dyDescent="0.25">
      <c r="A42" s="27">
        <v>34</v>
      </c>
      <c r="B42" s="27" t="s">
        <v>8</v>
      </c>
      <c r="C42" s="27" t="s">
        <v>163</v>
      </c>
      <c r="D42" s="27" t="s">
        <v>83</v>
      </c>
      <c r="E42" s="27" t="s">
        <v>105</v>
      </c>
      <c r="F42" s="28" t="s">
        <v>262</v>
      </c>
      <c r="G42" s="27">
        <v>7500</v>
      </c>
      <c r="H42" s="27">
        <v>7366</v>
      </c>
      <c r="I42" s="30">
        <v>45717</v>
      </c>
      <c r="J42" s="30">
        <v>46204</v>
      </c>
      <c r="K42" s="27"/>
      <c r="L42" s="27" t="s">
        <v>166</v>
      </c>
      <c r="M42" s="27" t="s">
        <v>169</v>
      </c>
      <c r="N42" s="27"/>
    </row>
    <row r="43" spans="1:15" s="15" customFormat="1" x14ac:dyDescent="0.25">
      <c r="A43" s="27">
        <v>35</v>
      </c>
      <c r="B43" s="27" t="s">
        <v>8</v>
      </c>
      <c r="C43" s="27" t="s">
        <v>163</v>
      </c>
      <c r="D43" s="27" t="s">
        <v>106</v>
      </c>
      <c r="E43" s="27" t="s">
        <v>221</v>
      </c>
      <c r="F43" s="27" t="s">
        <v>107</v>
      </c>
      <c r="G43" s="27">
        <v>12000</v>
      </c>
      <c r="H43" s="33">
        <v>13559</v>
      </c>
      <c r="I43" s="30">
        <v>45366</v>
      </c>
      <c r="J43" s="30">
        <v>46120</v>
      </c>
      <c r="K43" s="27"/>
      <c r="L43" s="27" t="s">
        <v>166</v>
      </c>
      <c r="M43" s="27" t="s">
        <v>170</v>
      </c>
      <c r="N43" s="27"/>
    </row>
    <row r="44" spans="1:15" s="15" customFormat="1" x14ac:dyDescent="0.25">
      <c r="A44" s="27">
        <v>35</v>
      </c>
      <c r="B44" s="27" t="s">
        <v>8</v>
      </c>
      <c r="C44" s="27" t="s">
        <v>163</v>
      </c>
      <c r="D44" s="27" t="s">
        <v>106</v>
      </c>
      <c r="E44" s="27" t="s">
        <v>222</v>
      </c>
      <c r="F44" s="27" t="s">
        <v>110</v>
      </c>
      <c r="G44" s="27">
        <v>12000</v>
      </c>
      <c r="H44" s="33">
        <v>13559</v>
      </c>
      <c r="I44" s="30">
        <v>45366</v>
      </c>
      <c r="J44" s="30">
        <v>46120</v>
      </c>
      <c r="K44" s="27"/>
      <c r="L44" s="27" t="s">
        <v>166</v>
      </c>
      <c r="M44" s="27" t="s">
        <v>170</v>
      </c>
      <c r="N44" s="27"/>
    </row>
    <row r="45" spans="1:15" s="15" customFormat="1" x14ac:dyDescent="0.25">
      <c r="A45" s="27">
        <v>35</v>
      </c>
      <c r="B45" s="27" t="s">
        <v>8</v>
      </c>
      <c r="C45" s="27" t="s">
        <v>163</v>
      </c>
      <c r="D45" s="27" t="s">
        <v>106</v>
      </c>
      <c r="E45" s="27" t="s">
        <v>114</v>
      </c>
      <c r="F45" s="27" t="s">
        <v>111</v>
      </c>
      <c r="G45" s="27">
        <v>12000</v>
      </c>
      <c r="H45" s="27">
        <v>846</v>
      </c>
      <c r="I45" s="30">
        <v>46137</v>
      </c>
      <c r="J45" s="30">
        <v>46755</v>
      </c>
      <c r="K45" s="27"/>
      <c r="L45" s="27" t="s">
        <v>166</v>
      </c>
      <c r="M45" s="27" t="s">
        <v>170</v>
      </c>
      <c r="N45" s="27"/>
    </row>
    <row r="46" spans="1:15" s="15" customFormat="1" x14ac:dyDescent="0.25">
      <c r="A46" s="27">
        <v>36</v>
      </c>
      <c r="B46" s="27" t="s">
        <v>8</v>
      </c>
      <c r="C46" s="27" t="s">
        <v>163</v>
      </c>
      <c r="D46" s="27" t="s">
        <v>115</v>
      </c>
      <c r="E46" s="27" t="s">
        <v>190</v>
      </c>
      <c r="F46" s="27" t="s">
        <v>116</v>
      </c>
      <c r="G46" s="27">
        <v>30000</v>
      </c>
      <c r="H46" s="27">
        <v>13559</v>
      </c>
      <c r="I46" s="30">
        <v>45366</v>
      </c>
      <c r="J46" s="30">
        <v>47020</v>
      </c>
      <c r="K46" s="27"/>
      <c r="L46" s="27" t="s">
        <v>166</v>
      </c>
      <c r="M46" s="27" t="s">
        <v>169</v>
      </c>
      <c r="N46" s="27"/>
    </row>
    <row r="47" spans="1:15" s="15" customFormat="1" x14ac:dyDescent="0.25">
      <c r="A47" s="27">
        <v>36</v>
      </c>
      <c r="B47" s="27" t="s">
        <v>8</v>
      </c>
      <c r="C47" s="27" t="s">
        <v>163</v>
      </c>
      <c r="D47" s="27" t="s">
        <v>115</v>
      </c>
      <c r="E47" s="27" t="s">
        <v>191</v>
      </c>
      <c r="F47" s="27" t="s">
        <v>118</v>
      </c>
      <c r="G47" s="27">
        <v>30000</v>
      </c>
      <c r="H47" s="27">
        <v>13559</v>
      </c>
      <c r="I47" s="30">
        <v>45366</v>
      </c>
      <c r="J47" s="30">
        <v>47020</v>
      </c>
      <c r="K47" s="27"/>
      <c r="L47" s="27" t="s">
        <v>166</v>
      </c>
      <c r="M47" s="27" t="s">
        <v>169</v>
      </c>
      <c r="N47" s="27"/>
    </row>
    <row r="48" spans="1:15" s="15" customFormat="1" x14ac:dyDescent="0.25">
      <c r="A48" s="27">
        <v>37</v>
      </c>
      <c r="B48" s="27" t="s">
        <v>8</v>
      </c>
      <c r="C48" s="27" t="s">
        <v>163</v>
      </c>
      <c r="D48" s="27" t="s">
        <v>115</v>
      </c>
      <c r="E48" s="27" t="s">
        <v>192</v>
      </c>
      <c r="F48" s="27" t="s">
        <v>120</v>
      </c>
      <c r="G48" s="27">
        <v>25000</v>
      </c>
      <c r="H48" s="27">
        <v>13559</v>
      </c>
      <c r="I48" s="30">
        <v>45366</v>
      </c>
      <c r="J48" s="30">
        <v>46770</v>
      </c>
      <c r="K48" s="27"/>
      <c r="L48" s="27" t="s">
        <v>166</v>
      </c>
      <c r="M48" s="27" t="s">
        <v>169</v>
      </c>
      <c r="N48" s="27"/>
    </row>
    <row r="49" spans="1:15" s="15" customFormat="1" x14ac:dyDescent="0.25">
      <c r="A49" s="27">
        <v>37</v>
      </c>
      <c r="B49" s="27" t="s">
        <v>8</v>
      </c>
      <c r="C49" s="27" t="s">
        <v>163</v>
      </c>
      <c r="D49" s="27" t="s">
        <v>115</v>
      </c>
      <c r="E49" s="27" t="s">
        <v>193</v>
      </c>
      <c r="F49" s="27" t="s">
        <v>122</v>
      </c>
      <c r="G49" s="27">
        <v>25000</v>
      </c>
      <c r="H49" s="27">
        <v>13559</v>
      </c>
      <c r="I49" s="30">
        <v>45366</v>
      </c>
      <c r="J49" s="30">
        <v>46770</v>
      </c>
      <c r="K49" s="27"/>
      <c r="L49" s="27" t="s">
        <v>166</v>
      </c>
      <c r="M49" s="27" t="s">
        <v>169</v>
      </c>
      <c r="N49" s="27"/>
    </row>
    <row r="50" spans="1:15" s="15" customFormat="1" x14ac:dyDescent="0.25">
      <c r="A50" s="27">
        <v>38</v>
      </c>
      <c r="B50" s="27" t="s">
        <v>8</v>
      </c>
      <c r="C50" s="27" t="s">
        <v>163</v>
      </c>
      <c r="D50" s="27" t="s">
        <v>115</v>
      </c>
      <c r="E50" s="27" t="s">
        <v>194</v>
      </c>
      <c r="F50" s="27" t="s">
        <v>124</v>
      </c>
      <c r="G50" s="27">
        <v>25000</v>
      </c>
      <c r="H50" s="27">
        <v>2713</v>
      </c>
      <c r="I50" s="30">
        <v>46011</v>
      </c>
      <c r="J50" s="30">
        <v>47312</v>
      </c>
      <c r="K50" s="27"/>
      <c r="L50" s="27" t="s">
        <v>166</v>
      </c>
      <c r="M50" s="27" t="s">
        <v>170</v>
      </c>
      <c r="N50" s="27"/>
    </row>
    <row r="51" spans="1:15" s="15" customFormat="1" x14ac:dyDescent="0.25">
      <c r="A51" s="27">
        <v>38</v>
      </c>
      <c r="B51" s="27" t="s">
        <v>8</v>
      </c>
      <c r="C51" s="27" t="s">
        <v>163</v>
      </c>
      <c r="D51" s="27" t="s">
        <v>115</v>
      </c>
      <c r="E51" s="27" t="s">
        <v>195</v>
      </c>
      <c r="F51" s="27" t="s">
        <v>127</v>
      </c>
      <c r="G51" s="27">
        <v>25000</v>
      </c>
      <c r="H51" s="27">
        <v>13559</v>
      </c>
      <c r="I51" s="30">
        <v>45366</v>
      </c>
      <c r="J51" s="30">
        <v>46770</v>
      </c>
      <c r="K51" s="27"/>
      <c r="L51" s="27" t="s">
        <v>166</v>
      </c>
      <c r="M51" s="27" t="s">
        <v>170</v>
      </c>
      <c r="N51" s="27"/>
    </row>
    <row r="52" spans="1:15" x14ac:dyDescent="0.25">
      <c r="A52" s="27">
        <v>39</v>
      </c>
      <c r="B52" s="27" t="s">
        <v>8</v>
      </c>
      <c r="C52" s="27" t="s">
        <v>163</v>
      </c>
      <c r="D52" s="27" t="s">
        <v>115</v>
      </c>
      <c r="E52" s="27" t="s">
        <v>196</v>
      </c>
      <c r="F52" s="27" t="s">
        <v>129</v>
      </c>
      <c r="G52" s="27">
        <v>25000</v>
      </c>
      <c r="H52" s="27">
        <v>2713</v>
      </c>
      <c r="I52" s="30">
        <v>46011</v>
      </c>
      <c r="J52" s="30">
        <v>47312</v>
      </c>
      <c r="K52" s="27"/>
      <c r="L52" s="27" t="s">
        <v>167</v>
      </c>
      <c r="M52" s="32" t="s">
        <v>56</v>
      </c>
      <c r="N52" s="27"/>
      <c r="O52" s="26"/>
    </row>
    <row r="53" spans="1:15" x14ac:dyDescent="0.25">
      <c r="A53" s="27">
        <v>39</v>
      </c>
      <c r="B53" s="27" t="s">
        <v>8</v>
      </c>
      <c r="C53" s="27" t="s">
        <v>163</v>
      </c>
      <c r="D53" s="27" t="s">
        <v>115</v>
      </c>
      <c r="E53" s="27" t="s">
        <v>197</v>
      </c>
      <c r="F53" s="27" t="s">
        <v>131</v>
      </c>
      <c r="G53" s="27">
        <v>25000</v>
      </c>
      <c r="H53" s="27">
        <v>777</v>
      </c>
      <c r="I53" s="30">
        <v>46149</v>
      </c>
      <c r="J53" s="30">
        <v>47409</v>
      </c>
      <c r="K53" s="27"/>
      <c r="L53" s="27" t="s">
        <v>167</v>
      </c>
      <c r="M53" s="32" t="s">
        <v>56</v>
      </c>
      <c r="N53" s="27"/>
      <c r="O53" s="26"/>
    </row>
    <row r="54" spans="1:15" s="15" customFormat="1" x14ac:dyDescent="0.25">
      <c r="A54" s="27">
        <v>40</v>
      </c>
      <c r="B54" s="27" t="s">
        <v>8</v>
      </c>
      <c r="C54" s="27" t="s">
        <v>163</v>
      </c>
      <c r="D54" s="27" t="s">
        <v>115</v>
      </c>
      <c r="E54" s="27" t="s">
        <v>198</v>
      </c>
      <c r="F54" s="27" t="s">
        <v>133</v>
      </c>
      <c r="G54" s="27">
        <v>5000</v>
      </c>
      <c r="H54" s="27">
        <v>3608</v>
      </c>
      <c r="I54" s="30">
        <v>45944</v>
      </c>
      <c r="J54" s="30">
        <v>46267</v>
      </c>
      <c r="K54" s="27"/>
      <c r="L54" s="27" t="s">
        <v>166</v>
      </c>
      <c r="M54" s="27" t="s">
        <v>170</v>
      </c>
      <c r="N54" s="27"/>
    </row>
    <row r="55" spans="1:15" s="15" customFormat="1" x14ac:dyDescent="0.25">
      <c r="A55" s="27">
        <v>40</v>
      </c>
      <c r="B55" s="27" t="s">
        <v>8</v>
      </c>
      <c r="C55" s="27" t="s">
        <v>163</v>
      </c>
      <c r="D55" s="27" t="s">
        <v>115</v>
      </c>
      <c r="E55" s="27" t="s">
        <v>199</v>
      </c>
      <c r="F55" s="27" t="s">
        <v>135</v>
      </c>
      <c r="G55" s="27">
        <v>5000</v>
      </c>
      <c r="H55" s="27">
        <v>1760</v>
      </c>
      <c r="I55" s="30">
        <v>46089</v>
      </c>
      <c r="J55" s="30">
        <v>46360</v>
      </c>
      <c r="K55" s="27"/>
      <c r="L55" s="27" t="s">
        <v>166</v>
      </c>
      <c r="M55" s="27" t="s">
        <v>170</v>
      </c>
      <c r="N55" s="27"/>
    </row>
    <row r="56" spans="1:15" x14ac:dyDescent="0.25">
      <c r="A56" s="27">
        <v>41</v>
      </c>
      <c r="B56" s="27" t="s">
        <v>8</v>
      </c>
      <c r="C56" s="27" t="s">
        <v>163</v>
      </c>
      <c r="D56" s="27" t="s">
        <v>115</v>
      </c>
      <c r="E56" s="27" t="s">
        <v>223</v>
      </c>
      <c r="F56" s="27" t="s">
        <v>138</v>
      </c>
      <c r="G56" s="27">
        <v>25000</v>
      </c>
      <c r="H56" s="27">
        <v>13559</v>
      </c>
      <c r="I56" s="30">
        <v>45366</v>
      </c>
      <c r="J56" s="30">
        <v>46770</v>
      </c>
      <c r="K56" s="27"/>
      <c r="L56" s="27" t="s">
        <v>167</v>
      </c>
      <c r="M56" s="32" t="s">
        <v>56</v>
      </c>
      <c r="N56" s="27"/>
      <c r="O56" s="26"/>
    </row>
    <row r="57" spans="1:15" x14ac:dyDescent="0.25">
      <c r="A57" s="27">
        <v>41</v>
      </c>
      <c r="B57" s="27" t="s">
        <v>8</v>
      </c>
      <c r="C57" s="27" t="s">
        <v>163</v>
      </c>
      <c r="D57" s="27" t="s">
        <v>115</v>
      </c>
      <c r="E57" s="27" t="s">
        <v>224</v>
      </c>
      <c r="F57" s="27" t="s">
        <v>140</v>
      </c>
      <c r="G57" s="27">
        <v>25000</v>
      </c>
      <c r="H57" s="27">
        <v>13559</v>
      </c>
      <c r="I57" s="30">
        <v>45366</v>
      </c>
      <c r="J57" s="30">
        <v>46770</v>
      </c>
      <c r="K57" s="27"/>
      <c r="L57" s="27" t="s">
        <v>167</v>
      </c>
      <c r="M57" s="32" t="s">
        <v>56</v>
      </c>
      <c r="N57" s="27"/>
      <c r="O57" s="26"/>
    </row>
    <row r="58" spans="1:15" x14ac:dyDescent="0.25">
      <c r="A58" s="27">
        <v>42</v>
      </c>
      <c r="B58" s="27" t="s">
        <v>8</v>
      </c>
      <c r="C58" s="27" t="s">
        <v>163</v>
      </c>
      <c r="D58" s="27" t="s">
        <v>115</v>
      </c>
      <c r="E58" s="27" t="s">
        <v>225</v>
      </c>
      <c r="F58" s="27" t="s">
        <v>142</v>
      </c>
      <c r="G58" s="27">
        <v>25000</v>
      </c>
      <c r="H58" s="27">
        <v>13559</v>
      </c>
      <c r="I58" s="30">
        <v>45366</v>
      </c>
      <c r="J58" s="30">
        <v>46770</v>
      </c>
      <c r="K58" s="27"/>
      <c r="L58" s="27" t="s">
        <v>167</v>
      </c>
      <c r="M58" s="32" t="s">
        <v>56</v>
      </c>
      <c r="N58" s="27"/>
      <c r="O58" s="26"/>
    </row>
    <row r="59" spans="1:15" x14ac:dyDescent="0.25">
      <c r="A59" s="27">
        <v>42</v>
      </c>
      <c r="B59" s="27" t="s">
        <v>8</v>
      </c>
      <c r="C59" s="27" t="s">
        <v>163</v>
      </c>
      <c r="D59" s="27" t="s">
        <v>115</v>
      </c>
      <c r="E59" s="27" t="s">
        <v>226</v>
      </c>
      <c r="F59" s="27" t="s">
        <v>143</v>
      </c>
      <c r="G59" s="27">
        <v>25000</v>
      </c>
      <c r="H59" s="27">
        <v>13559</v>
      </c>
      <c r="I59" s="30">
        <v>45366</v>
      </c>
      <c r="J59" s="30">
        <v>46770</v>
      </c>
      <c r="K59" s="27"/>
      <c r="L59" s="27" t="s">
        <v>167</v>
      </c>
      <c r="M59" s="32" t="s">
        <v>56</v>
      </c>
      <c r="N59" s="27"/>
      <c r="O59" s="26"/>
    </row>
    <row r="60" spans="1:15" x14ac:dyDescent="0.25">
      <c r="A60" s="27">
        <v>43</v>
      </c>
      <c r="B60" s="27" t="s">
        <v>8</v>
      </c>
      <c r="C60" s="27" t="s">
        <v>163</v>
      </c>
      <c r="D60" s="27" t="s">
        <v>115</v>
      </c>
      <c r="E60" s="27" t="s">
        <v>200</v>
      </c>
      <c r="F60" s="27" t="s">
        <v>144</v>
      </c>
      <c r="G60" s="27">
        <v>20000</v>
      </c>
      <c r="H60" s="27">
        <v>13559</v>
      </c>
      <c r="I60" s="30">
        <v>45366</v>
      </c>
      <c r="J60" s="30">
        <v>46520</v>
      </c>
      <c r="K60" s="27"/>
      <c r="L60" s="27" t="s">
        <v>167</v>
      </c>
      <c r="M60" s="32" t="s">
        <v>56</v>
      </c>
      <c r="N60" s="27"/>
      <c r="O60" s="26"/>
    </row>
    <row r="61" spans="1:15" x14ac:dyDescent="0.25">
      <c r="A61" s="27">
        <v>43</v>
      </c>
      <c r="B61" s="27" t="s">
        <v>8</v>
      </c>
      <c r="C61" s="27" t="s">
        <v>163</v>
      </c>
      <c r="D61" s="27" t="s">
        <v>115</v>
      </c>
      <c r="E61" s="27" t="s">
        <v>201</v>
      </c>
      <c r="F61" s="27" t="s">
        <v>146</v>
      </c>
      <c r="G61" s="27">
        <v>20000</v>
      </c>
      <c r="H61" s="27">
        <v>13559</v>
      </c>
      <c r="I61" s="30">
        <v>45366</v>
      </c>
      <c r="J61" s="30">
        <v>46520</v>
      </c>
      <c r="K61" s="27"/>
      <c r="L61" s="27" t="s">
        <v>167</v>
      </c>
      <c r="M61" s="32" t="s">
        <v>56</v>
      </c>
      <c r="N61" s="27"/>
      <c r="O61" s="26"/>
    </row>
    <row r="62" spans="1:15" s="15" customFormat="1" x14ac:dyDescent="0.25">
      <c r="A62" s="27">
        <v>44</v>
      </c>
      <c r="B62" s="27" t="s">
        <v>8</v>
      </c>
      <c r="C62" s="27" t="s">
        <v>163</v>
      </c>
      <c r="D62" s="27" t="s">
        <v>148</v>
      </c>
      <c r="E62" s="27" t="s">
        <v>202</v>
      </c>
      <c r="F62" s="27" t="s">
        <v>149</v>
      </c>
      <c r="G62" s="27">
        <v>20000</v>
      </c>
      <c r="H62" s="27">
        <v>13559</v>
      </c>
      <c r="I62" s="30">
        <v>45366</v>
      </c>
      <c r="J62" s="30">
        <v>46520</v>
      </c>
      <c r="K62" s="27"/>
      <c r="L62" s="27" t="s">
        <v>166</v>
      </c>
      <c r="M62" s="27" t="s">
        <v>169</v>
      </c>
      <c r="N62" s="27"/>
    </row>
    <row r="63" spans="1:15" x14ac:dyDescent="0.25">
      <c r="A63" s="27">
        <v>1</v>
      </c>
      <c r="B63" s="29" t="s">
        <v>248</v>
      </c>
      <c r="C63" s="27" t="s">
        <v>163</v>
      </c>
      <c r="D63" s="28" t="s">
        <v>9</v>
      </c>
      <c r="E63" s="27" t="s">
        <v>204</v>
      </c>
      <c r="F63" s="28" t="s">
        <v>10</v>
      </c>
      <c r="G63" s="28">
        <v>50000</v>
      </c>
      <c r="H63" s="28">
        <v>23023</v>
      </c>
      <c r="I63" s="30">
        <v>44810</v>
      </c>
      <c r="J63" s="30">
        <v>11022</v>
      </c>
      <c r="K63" s="28"/>
      <c r="L63" s="27" t="s">
        <v>166</v>
      </c>
      <c r="M63" s="27" t="s">
        <v>169</v>
      </c>
      <c r="N63" s="27"/>
    </row>
    <row r="64" spans="1:15" x14ac:dyDescent="0.25">
      <c r="A64" s="27">
        <v>2</v>
      </c>
      <c r="B64" s="29" t="s">
        <v>248</v>
      </c>
      <c r="C64" s="27" t="s">
        <v>163</v>
      </c>
      <c r="D64" s="28" t="s">
        <v>9</v>
      </c>
      <c r="E64" s="27" t="s">
        <v>270</v>
      </c>
      <c r="F64" s="28" t="s">
        <v>12</v>
      </c>
      <c r="G64" s="28">
        <v>15000</v>
      </c>
      <c r="H64" s="28">
        <v>8677</v>
      </c>
      <c r="I64" s="29" t="s">
        <v>249</v>
      </c>
      <c r="J64" s="30">
        <v>46514</v>
      </c>
      <c r="K64" s="28"/>
      <c r="L64" s="27" t="s">
        <v>167</v>
      </c>
      <c r="M64" s="32" t="s">
        <v>56</v>
      </c>
      <c r="N64" s="27"/>
    </row>
    <row r="65" spans="1:14" x14ac:dyDescent="0.25">
      <c r="A65" s="27">
        <v>4</v>
      </c>
      <c r="B65" s="29" t="s">
        <v>248</v>
      </c>
      <c r="C65" s="27" t="s">
        <v>163</v>
      </c>
      <c r="D65" s="28" t="s">
        <v>14</v>
      </c>
      <c r="E65" s="27" t="s">
        <v>271</v>
      </c>
      <c r="F65" s="28" t="s">
        <v>18</v>
      </c>
      <c r="G65" s="28">
        <v>25000</v>
      </c>
      <c r="H65" s="28">
        <v>5574</v>
      </c>
      <c r="I65" s="30">
        <v>45806</v>
      </c>
      <c r="J65" s="30">
        <v>47169</v>
      </c>
      <c r="K65" s="28"/>
      <c r="L65" s="27" t="s">
        <v>167</v>
      </c>
      <c r="M65" s="32" t="s">
        <v>56</v>
      </c>
      <c r="N65" s="27"/>
    </row>
    <row r="66" spans="1:14" x14ac:dyDescent="0.25">
      <c r="A66" s="27">
        <v>3</v>
      </c>
      <c r="B66" s="29" t="s">
        <v>248</v>
      </c>
      <c r="C66" s="27" t="s">
        <v>163</v>
      </c>
      <c r="D66" s="28" t="s">
        <v>14</v>
      </c>
      <c r="E66" s="27" t="s">
        <v>272</v>
      </c>
      <c r="F66" s="28" t="s">
        <v>15</v>
      </c>
      <c r="G66" s="28">
        <v>10000</v>
      </c>
      <c r="H66" s="28">
        <v>9944</v>
      </c>
      <c r="I66" s="30">
        <v>45553</v>
      </c>
      <c r="J66" s="30">
        <v>46201</v>
      </c>
      <c r="K66" s="28"/>
      <c r="L66" s="27" t="s">
        <v>166</v>
      </c>
      <c r="M66" s="27" t="s">
        <v>169</v>
      </c>
      <c r="N66" s="27"/>
    </row>
    <row r="67" spans="1:14" x14ac:dyDescent="0.25">
      <c r="A67" s="27">
        <v>3</v>
      </c>
      <c r="B67" s="29" t="s">
        <v>248</v>
      </c>
      <c r="C67" s="27" t="s">
        <v>163</v>
      </c>
      <c r="D67" s="28" t="s">
        <v>14</v>
      </c>
      <c r="E67" s="27" t="s">
        <v>273</v>
      </c>
      <c r="F67" s="28" t="s">
        <v>21</v>
      </c>
      <c r="G67" s="28">
        <v>10000</v>
      </c>
      <c r="H67" s="28">
        <v>9944</v>
      </c>
      <c r="I67" s="30">
        <v>45553</v>
      </c>
      <c r="J67" s="30">
        <v>46201</v>
      </c>
      <c r="K67" s="28"/>
      <c r="L67" s="27" t="s">
        <v>167</v>
      </c>
      <c r="M67" s="32" t="s">
        <v>56</v>
      </c>
      <c r="N67" s="27"/>
    </row>
    <row r="68" spans="1:14" x14ac:dyDescent="0.25">
      <c r="A68" s="27">
        <v>5</v>
      </c>
      <c r="B68" s="29" t="s">
        <v>248</v>
      </c>
      <c r="C68" s="27" t="s">
        <v>163</v>
      </c>
      <c r="D68" s="28" t="s">
        <v>14</v>
      </c>
      <c r="E68" s="27" t="s">
        <v>207</v>
      </c>
      <c r="F68" s="28" t="s">
        <v>250</v>
      </c>
      <c r="G68" s="28">
        <v>50000</v>
      </c>
      <c r="H68" s="28">
        <v>23023</v>
      </c>
      <c r="I68" s="30">
        <v>44810</v>
      </c>
      <c r="J68" s="30">
        <v>11022</v>
      </c>
      <c r="K68" s="28"/>
      <c r="L68" s="27" t="s">
        <v>167</v>
      </c>
      <c r="M68" s="32" t="s">
        <v>56</v>
      </c>
      <c r="N68" s="27"/>
    </row>
    <row r="69" spans="1:14" x14ac:dyDescent="0.25">
      <c r="A69" s="27">
        <v>6</v>
      </c>
      <c r="B69" s="29" t="s">
        <v>248</v>
      </c>
      <c r="C69" s="27" t="s">
        <v>163</v>
      </c>
      <c r="D69" s="28" t="s">
        <v>14</v>
      </c>
      <c r="E69" s="27" t="s">
        <v>208</v>
      </c>
      <c r="F69" s="28" t="s">
        <v>24</v>
      </c>
      <c r="G69" s="28">
        <v>50000</v>
      </c>
      <c r="H69" s="28">
        <v>23023</v>
      </c>
      <c r="I69" s="30">
        <v>44810</v>
      </c>
      <c r="J69" s="30">
        <v>11022</v>
      </c>
      <c r="K69" s="28"/>
      <c r="L69" s="27" t="s">
        <v>167</v>
      </c>
      <c r="M69" s="32" t="s">
        <v>56</v>
      </c>
      <c r="N69" s="27"/>
    </row>
    <row r="70" spans="1:14" x14ac:dyDescent="0.25">
      <c r="A70" s="27">
        <v>7</v>
      </c>
      <c r="B70" s="29" t="s">
        <v>248</v>
      </c>
      <c r="C70" s="27" t="s">
        <v>163</v>
      </c>
      <c r="D70" s="28" t="s">
        <v>14</v>
      </c>
      <c r="E70" s="27" t="s">
        <v>209</v>
      </c>
      <c r="F70" s="28" t="s">
        <v>26</v>
      </c>
      <c r="G70" s="28">
        <v>25000</v>
      </c>
      <c r="H70" s="28">
        <v>23023</v>
      </c>
      <c r="I70" s="30">
        <v>44810</v>
      </c>
      <c r="J70" s="30">
        <v>46297</v>
      </c>
      <c r="K70" s="28"/>
      <c r="L70" s="27" t="s">
        <v>167</v>
      </c>
      <c r="M70" s="32" t="s">
        <v>56</v>
      </c>
      <c r="N70" s="27"/>
    </row>
    <row r="71" spans="1:14" x14ac:dyDescent="0.25">
      <c r="A71" s="27">
        <v>8</v>
      </c>
      <c r="B71" s="29" t="s">
        <v>248</v>
      </c>
      <c r="C71" s="27" t="s">
        <v>163</v>
      </c>
      <c r="D71" s="28" t="s">
        <v>14</v>
      </c>
      <c r="E71" s="27" t="s">
        <v>274</v>
      </c>
      <c r="F71" s="28" t="s">
        <v>251</v>
      </c>
      <c r="G71" s="28">
        <v>25000</v>
      </c>
      <c r="H71" s="28">
        <v>23023</v>
      </c>
      <c r="I71" s="30">
        <v>44810</v>
      </c>
      <c r="J71" s="30">
        <v>46297</v>
      </c>
      <c r="K71" s="28"/>
      <c r="L71" s="27" t="s">
        <v>166</v>
      </c>
      <c r="M71" s="27" t="s">
        <v>169</v>
      </c>
      <c r="N71" s="27"/>
    </row>
    <row r="72" spans="1:14" x14ac:dyDescent="0.25">
      <c r="A72" s="27">
        <v>9</v>
      </c>
      <c r="B72" s="29" t="s">
        <v>248</v>
      </c>
      <c r="C72" s="27" t="s">
        <v>163</v>
      </c>
      <c r="D72" s="28" t="s">
        <v>14</v>
      </c>
      <c r="E72" s="27" t="s">
        <v>275</v>
      </c>
      <c r="F72" s="28" t="s">
        <v>30</v>
      </c>
      <c r="G72" s="28">
        <v>25000</v>
      </c>
      <c r="H72" s="28">
        <v>23023</v>
      </c>
      <c r="I72" s="30">
        <v>44810</v>
      </c>
      <c r="J72" s="30">
        <v>46297</v>
      </c>
      <c r="K72" s="28"/>
      <c r="L72" s="27" t="s">
        <v>166</v>
      </c>
      <c r="M72" s="27" t="s">
        <v>169</v>
      </c>
      <c r="N72" s="27"/>
    </row>
    <row r="73" spans="1:14" x14ac:dyDescent="0.25">
      <c r="A73" s="27">
        <v>9</v>
      </c>
      <c r="B73" s="29" t="s">
        <v>248</v>
      </c>
      <c r="C73" s="27" t="s">
        <v>163</v>
      </c>
      <c r="D73" s="28" t="s">
        <v>14</v>
      </c>
      <c r="E73" s="27" t="s">
        <v>276</v>
      </c>
      <c r="F73" s="28" t="s">
        <v>32</v>
      </c>
      <c r="G73" s="28">
        <v>25000</v>
      </c>
      <c r="H73" s="28">
        <v>23023</v>
      </c>
      <c r="I73" s="30">
        <v>44810</v>
      </c>
      <c r="J73" s="30">
        <v>46297</v>
      </c>
      <c r="K73" s="28"/>
      <c r="L73" s="27" t="s">
        <v>166</v>
      </c>
      <c r="M73" s="27" t="s">
        <v>169</v>
      </c>
      <c r="N73" s="27"/>
    </row>
    <row r="74" spans="1:14" x14ac:dyDescent="0.25">
      <c r="A74" s="27">
        <v>10</v>
      </c>
      <c r="B74" s="29" t="s">
        <v>248</v>
      </c>
      <c r="C74" s="27" t="s">
        <v>163</v>
      </c>
      <c r="D74" s="28" t="s">
        <v>14</v>
      </c>
      <c r="E74" s="27" t="s">
        <v>210</v>
      </c>
      <c r="F74" s="28" t="s">
        <v>34</v>
      </c>
      <c r="G74" s="28">
        <v>5000</v>
      </c>
      <c r="H74" s="28">
        <v>653</v>
      </c>
      <c r="I74" s="30">
        <v>46148</v>
      </c>
      <c r="J74" s="29" t="s">
        <v>252</v>
      </c>
      <c r="K74" s="28"/>
      <c r="L74" s="27" t="s">
        <v>167</v>
      </c>
      <c r="M74" s="32" t="s">
        <v>56</v>
      </c>
      <c r="N74" s="27"/>
    </row>
    <row r="75" spans="1:14" x14ac:dyDescent="0.25">
      <c r="A75" s="27">
        <v>11</v>
      </c>
      <c r="B75" s="29" t="s">
        <v>248</v>
      </c>
      <c r="C75" s="27" t="s">
        <v>163</v>
      </c>
      <c r="D75" s="28" t="s">
        <v>14</v>
      </c>
      <c r="E75" s="27" t="s">
        <v>277</v>
      </c>
      <c r="F75" s="28" t="s">
        <v>37</v>
      </c>
      <c r="G75" s="28">
        <v>5000</v>
      </c>
      <c r="H75" s="28">
        <v>653</v>
      </c>
      <c r="I75" s="30">
        <v>46148</v>
      </c>
      <c r="J75" s="29" t="s">
        <v>252</v>
      </c>
      <c r="K75" s="28"/>
      <c r="L75" s="27" t="s">
        <v>166</v>
      </c>
      <c r="M75" s="27" t="s">
        <v>169</v>
      </c>
      <c r="N75" s="27"/>
    </row>
    <row r="76" spans="1:14" x14ac:dyDescent="0.25">
      <c r="A76" s="27">
        <v>12</v>
      </c>
      <c r="B76" s="29" t="s">
        <v>248</v>
      </c>
      <c r="C76" s="27" t="s">
        <v>163</v>
      </c>
      <c r="D76" s="28" t="s">
        <v>14</v>
      </c>
      <c r="E76" s="27" t="s">
        <v>278</v>
      </c>
      <c r="F76" s="28" t="s">
        <v>40</v>
      </c>
      <c r="G76" s="28">
        <v>2500</v>
      </c>
      <c r="H76" s="28">
        <v>653</v>
      </c>
      <c r="I76" s="30">
        <v>46148</v>
      </c>
      <c r="J76" s="30">
        <v>46290</v>
      </c>
      <c r="K76" s="28"/>
      <c r="L76" s="27" t="s">
        <v>166</v>
      </c>
      <c r="M76" s="27" t="s">
        <v>169</v>
      </c>
      <c r="N76" s="27"/>
    </row>
    <row r="77" spans="1:14" x14ac:dyDescent="0.25">
      <c r="A77" s="27">
        <v>13</v>
      </c>
      <c r="B77" s="29" t="s">
        <v>248</v>
      </c>
      <c r="C77" s="27" t="s">
        <v>163</v>
      </c>
      <c r="D77" s="28" t="s">
        <v>14</v>
      </c>
      <c r="E77" s="27" t="s">
        <v>211</v>
      </c>
      <c r="F77" s="28" t="s">
        <v>43</v>
      </c>
      <c r="G77" s="28">
        <v>1250</v>
      </c>
      <c r="H77" s="28">
        <v>653</v>
      </c>
      <c r="I77" s="30">
        <v>46148</v>
      </c>
      <c r="J77" s="30">
        <v>46228</v>
      </c>
      <c r="K77" s="28"/>
      <c r="L77" s="27" t="s">
        <v>166</v>
      </c>
      <c r="M77" s="27" t="s">
        <v>170</v>
      </c>
      <c r="N77" s="27"/>
    </row>
    <row r="78" spans="1:14" x14ac:dyDescent="0.25">
      <c r="A78" s="27">
        <v>14</v>
      </c>
      <c r="B78" s="29" t="s">
        <v>248</v>
      </c>
      <c r="C78" s="27" t="s">
        <v>163</v>
      </c>
      <c r="D78" s="28" t="s">
        <v>14</v>
      </c>
      <c r="E78" s="27" t="s">
        <v>212</v>
      </c>
      <c r="F78" s="28" t="s">
        <v>46</v>
      </c>
      <c r="G78" s="28">
        <v>1250</v>
      </c>
      <c r="H78" s="28">
        <v>653</v>
      </c>
      <c r="I78" s="30">
        <v>46148</v>
      </c>
      <c r="J78" s="30">
        <v>46228</v>
      </c>
      <c r="K78" s="28"/>
      <c r="L78" s="27" t="s">
        <v>167</v>
      </c>
      <c r="M78" s="32" t="s">
        <v>56</v>
      </c>
      <c r="N78" s="27"/>
    </row>
    <row r="79" spans="1:14" x14ac:dyDescent="0.25">
      <c r="A79" s="27">
        <v>15</v>
      </c>
      <c r="B79" s="29" t="s">
        <v>248</v>
      </c>
      <c r="C79" s="27" t="s">
        <v>163</v>
      </c>
      <c r="D79" s="28" t="s">
        <v>14</v>
      </c>
      <c r="E79" s="27" t="s">
        <v>279</v>
      </c>
      <c r="F79" s="28" t="s">
        <v>253</v>
      </c>
      <c r="G79" s="28">
        <v>5000</v>
      </c>
      <c r="H79" s="28">
        <v>653</v>
      </c>
      <c r="I79" s="30">
        <v>46148</v>
      </c>
      <c r="J79" s="29" t="s">
        <v>252</v>
      </c>
      <c r="K79" s="28"/>
      <c r="L79" s="27" t="s">
        <v>166</v>
      </c>
      <c r="M79" s="27" t="s">
        <v>170</v>
      </c>
      <c r="N79" s="27"/>
    </row>
    <row r="80" spans="1:14" x14ac:dyDescent="0.25">
      <c r="A80" s="27">
        <v>15</v>
      </c>
      <c r="B80" s="29" t="s">
        <v>248</v>
      </c>
      <c r="C80" s="27" t="s">
        <v>163</v>
      </c>
      <c r="D80" s="28" t="s">
        <v>14</v>
      </c>
      <c r="E80" s="27" t="s">
        <v>280</v>
      </c>
      <c r="F80" s="28" t="s">
        <v>254</v>
      </c>
      <c r="G80" s="28">
        <v>5000</v>
      </c>
      <c r="H80" s="28">
        <v>653</v>
      </c>
      <c r="I80" s="30">
        <v>46148</v>
      </c>
      <c r="J80" s="29" t="s">
        <v>252</v>
      </c>
      <c r="K80" s="28"/>
      <c r="L80" s="27" t="s">
        <v>166</v>
      </c>
      <c r="M80" s="27" t="s">
        <v>170</v>
      </c>
      <c r="N80" s="27"/>
    </row>
    <row r="81" spans="1:14" x14ac:dyDescent="0.25">
      <c r="A81" s="27">
        <v>16</v>
      </c>
      <c r="B81" s="29" t="s">
        <v>248</v>
      </c>
      <c r="C81" s="27" t="s">
        <v>163</v>
      </c>
      <c r="D81" s="28" t="s">
        <v>14</v>
      </c>
      <c r="E81" s="27" t="s">
        <v>281</v>
      </c>
      <c r="F81" s="28" t="s">
        <v>52</v>
      </c>
      <c r="G81" s="28">
        <v>7000</v>
      </c>
      <c r="H81" s="28">
        <v>6835</v>
      </c>
      <c r="I81" s="30">
        <v>45735</v>
      </c>
      <c r="J81" s="30">
        <v>46206</v>
      </c>
      <c r="K81" s="28"/>
      <c r="L81" s="27" t="s">
        <v>166</v>
      </c>
      <c r="M81" s="27" t="s">
        <v>169</v>
      </c>
      <c r="N81" s="27"/>
    </row>
    <row r="82" spans="1:14" x14ac:dyDescent="0.25">
      <c r="A82" s="27">
        <v>17</v>
      </c>
      <c r="B82" s="29" t="s">
        <v>248</v>
      </c>
      <c r="C82" s="27" t="s">
        <v>163</v>
      </c>
      <c r="D82" s="28" t="s">
        <v>14</v>
      </c>
      <c r="E82" s="27" t="s">
        <v>213</v>
      </c>
      <c r="F82" s="28" t="s">
        <v>55</v>
      </c>
      <c r="G82" s="28">
        <v>6000</v>
      </c>
      <c r="H82" s="31">
        <v>11813</v>
      </c>
      <c r="I82" s="30">
        <v>45449</v>
      </c>
      <c r="J82" s="30">
        <v>45907</v>
      </c>
      <c r="K82" s="28"/>
      <c r="L82" s="27" t="s">
        <v>167</v>
      </c>
      <c r="M82" s="32" t="s">
        <v>56</v>
      </c>
      <c r="N82" s="27"/>
    </row>
    <row r="83" spans="1:14" x14ac:dyDescent="0.25">
      <c r="A83" s="27">
        <v>18</v>
      </c>
      <c r="B83" s="29" t="s">
        <v>248</v>
      </c>
      <c r="C83" s="27" t="s">
        <v>163</v>
      </c>
      <c r="D83" s="28" t="s">
        <v>57</v>
      </c>
      <c r="E83" s="27" t="s">
        <v>282</v>
      </c>
      <c r="F83" s="28" t="s">
        <v>58</v>
      </c>
      <c r="G83" s="28">
        <v>25000</v>
      </c>
      <c r="H83" s="28">
        <v>23023</v>
      </c>
      <c r="I83" s="30">
        <v>44810</v>
      </c>
      <c r="J83" s="30">
        <v>46297</v>
      </c>
      <c r="K83" s="28"/>
      <c r="L83" s="27" t="s">
        <v>166</v>
      </c>
      <c r="M83" s="27" t="s">
        <v>169</v>
      </c>
      <c r="N83" s="27"/>
    </row>
    <row r="84" spans="1:14" x14ac:dyDescent="0.25">
      <c r="A84" s="27">
        <v>18</v>
      </c>
      <c r="B84" s="29" t="s">
        <v>248</v>
      </c>
      <c r="C84" s="27" t="s">
        <v>163</v>
      </c>
      <c r="D84" s="28" t="s">
        <v>57</v>
      </c>
      <c r="E84" s="27" t="s">
        <v>283</v>
      </c>
      <c r="F84" s="28" t="s">
        <v>60</v>
      </c>
      <c r="G84" s="28">
        <v>25000</v>
      </c>
      <c r="H84" s="28">
        <v>22799</v>
      </c>
      <c r="I84" s="30">
        <v>44828</v>
      </c>
      <c r="J84" s="30">
        <v>46308</v>
      </c>
      <c r="K84" s="28"/>
      <c r="L84" s="27" t="s">
        <v>166</v>
      </c>
      <c r="M84" s="27" t="s">
        <v>169</v>
      </c>
      <c r="N84" s="27"/>
    </row>
    <row r="85" spans="1:14" x14ac:dyDescent="0.25">
      <c r="A85" s="27">
        <v>19</v>
      </c>
      <c r="B85" s="29" t="s">
        <v>248</v>
      </c>
      <c r="C85" s="27" t="s">
        <v>163</v>
      </c>
      <c r="D85" s="28" t="s">
        <v>57</v>
      </c>
      <c r="E85" s="27" t="s">
        <v>284</v>
      </c>
      <c r="F85" s="28" t="s">
        <v>64</v>
      </c>
      <c r="G85" s="28">
        <v>25000</v>
      </c>
      <c r="H85" s="28">
        <v>23023</v>
      </c>
      <c r="I85" s="30">
        <v>44810</v>
      </c>
      <c r="J85" s="30">
        <v>46297</v>
      </c>
      <c r="K85" s="28"/>
      <c r="L85" s="27" t="s">
        <v>166</v>
      </c>
      <c r="M85" s="27" t="s">
        <v>170</v>
      </c>
      <c r="N85" s="27"/>
    </row>
    <row r="86" spans="1:14" x14ac:dyDescent="0.25">
      <c r="A86" s="27">
        <v>19</v>
      </c>
      <c r="B86" s="29" t="s">
        <v>248</v>
      </c>
      <c r="C86" s="27" t="s">
        <v>163</v>
      </c>
      <c r="D86" s="28" t="s">
        <v>57</v>
      </c>
      <c r="E86" s="27" t="s">
        <v>285</v>
      </c>
      <c r="F86" s="28" t="s">
        <v>68</v>
      </c>
      <c r="G86" s="28">
        <v>25000</v>
      </c>
      <c r="H86" s="28">
        <v>23023</v>
      </c>
      <c r="I86" s="30">
        <v>44810</v>
      </c>
      <c r="J86" s="30">
        <v>46297</v>
      </c>
      <c r="K86" s="28"/>
      <c r="L86" s="27" t="s">
        <v>166</v>
      </c>
      <c r="M86" s="27" t="s">
        <v>170</v>
      </c>
      <c r="N86" s="27"/>
    </row>
    <row r="87" spans="1:14" x14ac:dyDescent="0.25">
      <c r="A87" s="27">
        <v>20</v>
      </c>
      <c r="B87" s="29" t="s">
        <v>248</v>
      </c>
      <c r="C87" s="27" t="s">
        <v>163</v>
      </c>
      <c r="D87" s="28" t="s">
        <v>57</v>
      </c>
      <c r="E87" s="27" t="s">
        <v>286</v>
      </c>
      <c r="F87" s="28" t="s">
        <v>70</v>
      </c>
      <c r="G87" s="28">
        <v>7000</v>
      </c>
      <c r="H87" s="31">
        <v>7338</v>
      </c>
      <c r="I87" s="30">
        <v>45707</v>
      </c>
      <c r="J87" s="30">
        <v>46181</v>
      </c>
      <c r="K87" s="28"/>
      <c r="L87" s="27" t="s">
        <v>166</v>
      </c>
      <c r="M87" s="27" t="s">
        <v>169</v>
      </c>
      <c r="N87" s="27"/>
    </row>
    <row r="88" spans="1:14" x14ac:dyDescent="0.25">
      <c r="A88" s="27">
        <v>20</v>
      </c>
      <c r="B88" s="29" t="s">
        <v>248</v>
      </c>
      <c r="C88" s="27" t="s">
        <v>163</v>
      </c>
      <c r="D88" s="28" t="s">
        <v>57</v>
      </c>
      <c r="E88" s="27" t="s">
        <v>257</v>
      </c>
      <c r="F88" s="28" t="s">
        <v>72</v>
      </c>
      <c r="G88" s="28">
        <v>7000</v>
      </c>
      <c r="H88" s="28">
        <v>839</v>
      </c>
      <c r="I88" s="29" t="s">
        <v>255</v>
      </c>
      <c r="J88" s="29" t="s">
        <v>256</v>
      </c>
      <c r="K88" s="28"/>
      <c r="L88" s="27" t="s">
        <v>166</v>
      </c>
      <c r="M88" s="27" t="s">
        <v>169</v>
      </c>
      <c r="N88" s="27"/>
    </row>
    <row r="89" spans="1:14" x14ac:dyDescent="0.25">
      <c r="A89" s="27">
        <v>21</v>
      </c>
      <c r="B89" s="29" t="s">
        <v>248</v>
      </c>
      <c r="C89" s="27" t="s">
        <v>163</v>
      </c>
      <c r="D89" s="28" t="s">
        <v>57</v>
      </c>
      <c r="E89" s="27" t="s">
        <v>214</v>
      </c>
      <c r="F89" s="28" t="s">
        <v>74</v>
      </c>
      <c r="G89" s="28">
        <v>50000</v>
      </c>
      <c r="H89" s="28">
        <v>23023</v>
      </c>
      <c r="I89" s="30">
        <v>44810</v>
      </c>
      <c r="J89" s="30">
        <v>11022</v>
      </c>
      <c r="K89" s="28"/>
      <c r="L89" s="27" t="s">
        <v>167</v>
      </c>
      <c r="M89" s="32" t="s">
        <v>56</v>
      </c>
      <c r="N89" s="27"/>
    </row>
    <row r="90" spans="1:14" x14ac:dyDescent="0.25">
      <c r="A90" s="27">
        <v>22</v>
      </c>
      <c r="B90" s="29" t="s">
        <v>248</v>
      </c>
      <c r="C90" s="27" t="s">
        <v>163</v>
      </c>
      <c r="D90" s="28" t="s">
        <v>57</v>
      </c>
      <c r="E90" s="27" t="s">
        <v>215</v>
      </c>
      <c r="F90" s="28" t="s">
        <v>76</v>
      </c>
      <c r="G90" s="28">
        <v>50000</v>
      </c>
      <c r="H90" s="28">
        <v>23023</v>
      </c>
      <c r="I90" s="30">
        <v>44810</v>
      </c>
      <c r="J90" s="30">
        <v>11022</v>
      </c>
      <c r="K90" s="28"/>
      <c r="L90" s="27" t="s">
        <v>167</v>
      </c>
      <c r="M90" s="32" t="s">
        <v>56</v>
      </c>
      <c r="N90" s="27"/>
    </row>
    <row r="91" spans="1:14" x14ac:dyDescent="0.25">
      <c r="A91" s="27">
        <v>23</v>
      </c>
      <c r="B91" s="29" t="s">
        <v>248</v>
      </c>
      <c r="C91" s="27" t="s">
        <v>163</v>
      </c>
      <c r="D91" s="28" t="s">
        <v>57</v>
      </c>
      <c r="E91" s="27" t="s">
        <v>216</v>
      </c>
      <c r="F91" s="28" t="s">
        <v>78</v>
      </c>
      <c r="G91" s="28">
        <v>50000</v>
      </c>
      <c r="H91" s="28">
        <v>23023</v>
      </c>
      <c r="I91" s="30">
        <v>44810</v>
      </c>
      <c r="J91" s="30">
        <v>11022</v>
      </c>
      <c r="K91" s="28"/>
      <c r="L91" s="27" t="s">
        <v>167</v>
      </c>
      <c r="M91" s="32" t="s">
        <v>56</v>
      </c>
      <c r="N91" s="27"/>
    </row>
    <row r="92" spans="1:14" x14ac:dyDescent="0.25">
      <c r="A92" s="27">
        <v>25</v>
      </c>
      <c r="B92" s="29" t="s">
        <v>248</v>
      </c>
      <c r="C92" s="27" t="s">
        <v>163</v>
      </c>
      <c r="D92" s="28" t="s">
        <v>57</v>
      </c>
      <c r="E92" s="27" t="s">
        <v>218</v>
      </c>
      <c r="F92" s="28" t="s">
        <v>258</v>
      </c>
      <c r="G92" s="28">
        <v>3000</v>
      </c>
      <c r="H92" s="31">
        <v>13658</v>
      </c>
      <c r="I92" s="30">
        <v>45346</v>
      </c>
      <c r="J92" s="29" t="s">
        <v>259</v>
      </c>
      <c r="K92" s="28"/>
      <c r="L92" s="27" t="s">
        <v>167</v>
      </c>
      <c r="M92" s="32" t="s">
        <v>56</v>
      </c>
      <c r="N92" s="27"/>
    </row>
    <row r="93" spans="1:14" x14ac:dyDescent="0.25">
      <c r="A93" s="27">
        <v>24</v>
      </c>
      <c r="B93" s="29" t="s">
        <v>248</v>
      </c>
      <c r="C93" s="27" t="s">
        <v>163</v>
      </c>
      <c r="D93" s="28" t="s">
        <v>57</v>
      </c>
      <c r="E93" s="27" t="s">
        <v>217</v>
      </c>
      <c r="F93" s="28" t="s">
        <v>80</v>
      </c>
      <c r="G93" s="28">
        <v>5000</v>
      </c>
      <c r="H93" s="31">
        <v>23023</v>
      </c>
      <c r="I93" s="30">
        <v>44810</v>
      </c>
      <c r="J93" s="29" t="s">
        <v>260</v>
      </c>
      <c r="K93" s="28"/>
      <c r="L93" s="27" t="s">
        <v>167</v>
      </c>
      <c r="M93" s="32" t="s">
        <v>56</v>
      </c>
      <c r="N93" s="27"/>
    </row>
    <row r="94" spans="1:14" x14ac:dyDescent="0.25">
      <c r="A94" s="27">
        <v>26</v>
      </c>
      <c r="B94" s="29" t="s">
        <v>248</v>
      </c>
      <c r="C94" s="27" t="s">
        <v>163</v>
      </c>
      <c r="D94" s="28" t="s">
        <v>83</v>
      </c>
      <c r="E94" s="27" t="s">
        <v>287</v>
      </c>
      <c r="F94" s="28" t="s">
        <v>84</v>
      </c>
      <c r="G94" s="28">
        <v>25000</v>
      </c>
      <c r="H94" s="28">
        <v>23023</v>
      </c>
      <c r="I94" s="30">
        <v>44810</v>
      </c>
      <c r="J94" s="30">
        <v>46297</v>
      </c>
      <c r="K94" s="28"/>
      <c r="L94" s="27" t="s">
        <v>166</v>
      </c>
      <c r="M94" s="27" t="s">
        <v>169</v>
      </c>
      <c r="N94" s="27"/>
    </row>
    <row r="95" spans="1:14" x14ac:dyDescent="0.25">
      <c r="A95" s="27">
        <v>27</v>
      </c>
      <c r="B95" s="29" t="s">
        <v>248</v>
      </c>
      <c r="C95" s="27" t="s">
        <v>163</v>
      </c>
      <c r="D95" s="28" t="s">
        <v>83</v>
      </c>
      <c r="E95" s="27" t="s">
        <v>288</v>
      </c>
      <c r="F95" s="28" t="s">
        <v>86</v>
      </c>
      <c r="G95" s="28">
        <v>25000</v>
      </c>
      <c r="H95" s="28">
        <v>23023</v>
      </c>
      <c r="I95" s="30">
        <v>44810</v>
      </c>
      <c r="J95" s="30">
        <v>46297</v>
      </c>
      <c r="K95" s="28"/>
      <c r="L95" s="27" t="s">
        <v>167</v>
      </c>
      <c r="M95" s="32" t="s">
        <v>56</v>
      </c>
      <c r="N95" s="27"/>
    </row>
    <row r="96" spans="1:14" x14ac:dyDescent="0.25">
      <c r="A96" s="27">
        <v>28</v>
      </c>
      <c r="B96" s="29" t="s">
        <v>248</v>
      </c>
      <c r="C96" s="27" t="s">
        <v>163</v>
      </c>
      <c r="D96" s="28" t="s">
        <v>83</v>
      </c>
      <c r="E96" s="27" t="s">
        <v>289</v>
      </c>
      <c r="F96" s="28" t="s">
        <v>88</v>
      </c>
      <c r="G96" s="28">
        <v>25000</v>
      </c>
      <c r="H96" s="28">
        <v>23023</v>
      </c>
      <c r="I96" s="30">
        <v>44810</v>
      </c>
      <c r="J96" s="30">
        <v>46297</v>
      </c>
      <c r="K96" s="28"/>
      <c r="L96" s="27" t="s">
        <v>166</v>
      </c>
      <c r="M96" s="27" t="s">
        <v>170</v>
      </c>
      <c r="N96" s="27"/>
    </row>
    <row r="97" spans="1:14" x14ac:dyDescent="0.25">
      <c r="A97" s="27">
        <v>29</v>
      </c>
      <c r="B97" s="29" t="s">
        <v>248</v>
      </c>
      <c r="C97" s="27" t="s">
        <v>163</v>
      </c>
      <c r="D97" s="28" t="s">
        <v>83</v>
      </c>
      <c r="E97" s="27" t="s">
        <v>219</v>
      </c>
      <c r="F97" s="28" t="s">
        <v>90</v>
      </c>
      <c r="G97" s="28">
        <v>12500</v>
      </c>
      <c r="H97" s="28">
        <v>9944</v>
      </c>
      <c r="I97" s="30">
        <v>45553</v>
      </c>
      <c r="J97" s="30">
        <v>46326</v>
      </c>
      <c r="K97" s="28"/>
      <c r="L97" s="27" t="s">
        <v>167</v>
      </c>
      <c r="M97" s="32" t="s">
        <v>56</v>
      </c>
      <c r="N97" s="27"/>
    </row>
    <row r="98" spans="1:14" x14ac:dyDescent="0.25">
      <c r="A98" s="27">
        <v>30</v>
      </c>
      <c r="B98" s="29" t="s">
        <v>248</v>
      </c>
      <c r="C98" s="27" t="s">
        <v>163</v>
      </c>
      <c r="D98" s="28" t="s">
        <v>83</v>
      </c>
      <c r="E98" s="27" t="s">
        <v>290</v>
      </c>
      <c r="F98" s="28" t="s">
        <v>92</v>
      </c>
      <c r="G98" s="28">
        <v>50000</v>
      </c>
      <c r="H98" s="28">
        <v>23023</v>
      </c>
      <c r="I98" s="30">
        <v>44810</v>
      </c>
      <c r="J98" s="30">
        <v>11022</v>
      </c>
      <c r="K98" s="28"/>
      <c r="L98" s="27" t="s">
        <v>166</v>
      </c>
      <c r="M98" s="27" t="s">
        <v>169</v>
      </c>
      <c r="N98" s="27"/>
    </row>
    <row r="99" spans="1:14" x14ac:dyDescent="0.25">
      <c r="A99" s="27">
        <v>31</v>
      </c>
      <c r="B99" s="29" t="s">
        <v>248</v>
      </c>
      <c r="C99" s="27" t="s">
        <v>163</v>
      </c>
      <c r="D99" s="28" t="s">
        <v>83</v>
      </c>
      <c r="E99" s="27" t="s">
        <v>291</v>
      </c>
      <c r="F99" s="28" t="s">
        <v>94</v>
      </c>
      <c r="G99" s="28">
        <v>25000</v>
      </c>
      <c r="H99" s="28">
        <v>23023</v>
      </c>
      <c r="I99" s="30">
        <v>44810</v>
      </c>
      <c r="J99" s="30">
        <v>46297</v>
      </c>
      <c r="K99" s="28"/>
      <c r="L99" s="27" t="s">
        <v>166</v>
      </c>
      <c r="M99" s="27" t="s">
        <v>169</v>
      </c>
      <c r="N99" s="27"/>
    </row>
    <row r="100" spans="1:14" x14ac:dyDescent="0.25">
      <c r="A100" s="27">
        <v>32</v>
      </c>
      <c r="B100" s="29" t="s">
        <v>248</v>
      </c>
      <c r="C100" s="27" t="s">
        <v>163</v>
      </c>
      <c r="D100" s="28" t="s">
        <v>83</v>
      </c>
      <c r="E100" s="27" t="s">
        <v>292</v>
      </c>
      <c r="F100" s="28" t="s">
        <v>97</v>
      </c>
      <c r="G100" s="28">
        <v>25000</v>
      </c>
      <c r="H100" s="28">
        <v>23023</v>
      </c>
      <c r="I100" s="30">
        <v>44810</v>
      </c>
      <c r="J100" s="30">
        <v>46297</v>
      </c>
      <c r="K100" s="28"/>
      <c r="L100" s="27" t="s">
        <v>167</v>
      </c>
      <c r="M100" s="32" t="s">
        <v>56</v>
      </c>
      <c r="N100" s="27"/>
    </row>
    <row r="101" spans="1:14" x14ac:dyDescent="0.25">
      <c r="A101" s="27">
        <v>33</v>
      </c>
      <c r="B101" s="29" t="s">
        <v>248</v>
      </c>
      <c r="C101" s="27" t="s">
        <v>163</v>
      </c>
      <c r="D101" s="28" t="s">
        <v>83</v>
      </c>
      <c r="E101" s="27" t="s">
        <v>220</v>
      </c>
      <c r="F101" s="28" t="s">
        <v>100</v>
      </c>
      <c r="G101" s="28">
        <v>950</v>
      </c>
      <c r="H101" s="31">
        <v>3238</v>
      </c>
      <c r="I101" s="30">
        <v>45955</v>
      </c>
      <c r="J101" s="30">
        <v>46083</v>
      </c>
      <c r="K101" s="28"/>
      <c r="L101" s="27" t="s">
        <v>167</v>
      </c>
      <c r="M101" s="32" t="s">
        <v>56</v>
      </c>
      <c r="N101" s="27"/>
    </row>
    <row r="102" spans="1:14" x14ac:dyDescent="0.25">
      <c r="A102" s="27">
        <v>34</v>
      </c>
      <c r="B102" s="29" t="s">
        <v>248</v>
      </c>
      <c r="C102" s="27" t="s">
        <v>163</v>
      </c>
      <c r="D102" s="28" t="s">
        <v>83</v>
      </c>
      <c r="E102" s="27" t="s">
        <v>103</v>
      </c>
      <c r="F102" s="28" t="s">
        <v>102</v>
      </c>
      <c r="G102" s="28">
        <v>7500</v>
      </c>
      <c r="H102" s="28">
        <v>653</v>
      </c>
      <c r="I102" s="29" t="s">
        <v>261</v>
      </c>
      <c r="J102" s="30">
        <v>46540</v>
      </c>
      <c r="K102" s="28"/>
      <c r="L102" s="27" t="s">
        <v>166</v>
      </c>
      <c r="M102" s="27" t="s">
        <v>169</v>
      </c>
      <c r="N102" s="27"/>
    </row>
    <row r="103" spans="1:14" x14ac:dyDescent="0.25">
      <c r="A103" s="27">
        <v>34</v>
      </c>
      <c r="B103" s="29" t="s">
        <v>248</v>
      </c>
      <c r="C103" s="27" t="s">
        <v>163</v>
      </c>
      <c r="D103" s="28" t="s">
        <v>83</v>
      </c>
      <c r="E103" s="27" t="s">
        <v>293</v>
      </c>
      <c r="F103" s="28" t="s">
        <v>262</v>
      </c>
      <c r="G103" s="28">
        <v>7500</v>
      </c>
      <c r="H103" s="28">
        <v>653</v>
      </c>
      <c r="I103" s="29" t="s">
        <v>261</v>
      </c>
      <c r="J103" s="30">
        <v>46540</v>
      </c>
      <c r="K103" s="28"/>
      <c r="L103" s="27" t="s">
        <v>166</v>
      </c>
      <c r="M103" s="27" t="s">
        <v>169</v>
      </c>
      <c r="N103" s="27"/>
    </row>
    <row r="104" spans="1:14" x14ac:dyDescent="0.25">
      <c r="A104" s="27">
        <v>35</v>
      </c>
      <c r="B104" s="29" t="s">
        <v>248</v>
      </c>
      <c r="C104" s="27" t="s">
        <v>163</v>
      </c>
      <c r="D104" s="28" t="s">
        <v>106</v>
      </c>
      <c r="E104" s="27" t="s">
        <v>221</v>
      </c>
      <c r="F104" s="28" t="s">
        <v>107</v>
      </c>
      <c r="G104" s="28">
        <v>12000</v>
      </c>
      <c r="H104" s="28">
        <v>4859</v>
      </c>
      <c r="I104" s="30">
        <v>45848</v>
      </c>
      <c r="J104" s="30">
        <v>46555</v>
      </c>
      <c r="K104" s="28"/>
      <c r="L104" s="27" t="s">
        <v>166</v>
      </c>
      <c r="M104" s="27" t="s">
        <v>170</v>
      </c>
      <c r="N104" s="27"/>
    </row>
    <row r="105" spans="1:14" x14ac:dyDescent="0.25">
      <c r="A105" s="27">
        <v>35</v>
      </c>
      <c r="B105" s="29" t="s">
        <v>248</v>
      </c>
      <c r="C105" s="27" t="s">
        <v>163</v>
      </c>
      <c r="D105" s="28" t="s">
        <v>106</v>
      </c>
      <c r="E105" s="27" t="s">
        <v>222</v>
      </c>
      <c r="F105" s="28" t="s">
        <v>110</v>
      </c>
      <c r="G105" s="28">
        <v>12000</v>
      </c>
      <c r="H105" s="28">
        <v>7083</v>
      </c>
      <c r="I105" s="30">
        <v>45721</v>
      </c>
      <c r="J105" s="30">
        <v>46444</v>
      </c>
      <c r="K105" s="28"/>
      <c r="L105" s="27" t="s">
        <v>166</v>
      </c>
      <c r="M105" s="27" t="s">
        <v>170</v>
      </c>
      <c r="N105" s="27"/>
    </row>
    <row r="106" spans="1:14" x14ac:dyDescent="0.25">
      <c r="A106" s="27">
        <v>35</v>
      </c>
      <c r="B106" s="29" t="s">
        <v>248</v>
      </c>
      <c r="C106" s="27" t="s">
        <v>163</v>
      </c>
      <c r="D106" s="28" t="s">
        <v>106</v>
      </c>
      <c r="E106" s="27" t="s">
        <v>294</v>
      </c>
      <c r="F106" s="28" t="s">
        <v>111</v>
      </c>
      <c r="G106" s="28">
        <v>12000</v>
      </c>
      <c r="H106" s="28">
        <v>10252</v>
      </c>
      <c r="I106" s="30">
        <v>45539</v>
      </c>
      <c r="J106" s="30">
        <v>46285</v>
      </c>
      <c r="K106" s="28"/>
      <c r="L106" s="27" t="s">
        <v>166</v>
      </c>
      <c r="M106" s="27" t="s">
        <v>170</v>
      </c>
      <c r="N106" s="27"/>
    </row>
    <row r="107" spans="1:14" x14ac:dyDescent="0.25">
      <c r="A107" s="27">
        <v>41</v>
      </c>
      <c r="B107" s="29" t="s">
        <v>248</v>
      </c>
      <c r="C107" s="27" t="s">
        <v>163</v>
      </c>
      <c r="D107" s="28" t="s">
        <v>115</v>
      </c>
      <c r="E107" s="27" t="s">
        <v>223</v>
      </c>
      <c r="F107" s="27" t="s">
        <v>138</v>
      </c>
      <c r="G107" s="28">
        <v>25000</v>
      </c>
      <c r="H107" s="28">
        <v>23023</v>
      </c>
      <c r="I107" s="30">
        <v>44810</v>
      </c>
      <c r="J107" s="30">
        <v>46297</v>
      </c>
      <c r="K107" s="28"/>
      <c r="L107" s="27" t="s">
        <v>166</v>
      </c>
      <c r="M107" s="27" t="s">
        <v>169</v>
      </c>
      <c r="N107" s="27"/>
    </row>
    <row r="108" spans="1:14" x14ac:dyDescent="0.25">
      <c r="A108" s="27">
        <v>41</v>
      </c>
      <c r="B108" s="29" t="s">
        <v>248</v>
      </c>
      <c r="C108" s="27" t="s">
        <v>163</v>
      </c>
      <c r="D108" s="28" t="s">
        <v>115</v>
      </c>
      <c r="E108" s="27" t="s">
        <v>224</v>
      </c>
      <c r="F108" s="27" t="s">
        <v>140</v>
      </c>
      <c r="G108" s="28">
        <v>25000</v>
      </c>
      <c r="H108" s="28">
        <v>23023</v>
      </c>
      <c r="I108" s="30">
        <v>44810</v>
      </c>
      <c r="J108" s="30">
        <v>46297</v>
      </c>
      <c r="K108" s="28"/>
      <c r="L108" s="27" t="s">
        <v>166</v>
      </c>
      <c r="M108" s="27" t="s">
        <v>169</v>
      </c>
      <c r="N108" s="27"/>
    </row>
    <row r="109" spans="1:14" x14ac:dyDescent="0.25">
      <c r="A109" s="27">
        <v>42</v>
      </c>
      <c r="B109" s="29" t="s">
        <v>248</v>
      </c>
      <c r="C109" s="27" t="s">
        <v>163</v>
      </c>
      <c r="D109" s="28" t="s">
        <v>115</v>
      </c>
      <c r="E109" s="27" t="s">
        <v>295</v>
      </c>
      <c r="F109" s="27" t="s">
        <v>142</v>
      </c>
      <c r="G109" s="28">
        <v>50000</v>
      </c>
      <c r="H109" s="28">
        <v>23023</v>
      </c>
      <c r="I109" s="30">
        <v>44810</v>
      </c>
      <c r="J109" s="30">
        <v>11022</v>
      </c>
      <c r="K109" s="28"/>
      <c r="L109" s="27" t="s">
        <v>166</v>
      </c>
      <c r="M109" s="27" t="s">
        <v>169</v>
      </c>
      <c r="N109" s="27"/>
    </row>
    <row r="110" spans="1:14" x14ac:dyDescent="0.25">
      <c r="A110" s="27">
        <v>42</v>
      </c>
      <c r="B110" s="29" t="s">
        <v>248</v>
      </c>
      <c r="C110" s="27" t="s">
        <v>163</v>
      </c>
      <c r="D110" s="28" t="s">
        <v>115</v>
      </c>
      <c r="E110" s="27" t="s">
        <v>226</v>
      </c>
      <c r="F110" s="27" t="s">
        <v>143</v>
      </c>
      <c r="G110" s="28">
        <v>25000</v>
      </c>
      <c r="H110" s="28">
        <v>23023</v>
      </c>
      <c r="I110" s="30">
        <v>44810</v>
      </c>
      <c r="J110" s="30">
        <v>46297</v>
      </c>
      <c r="K110" s="28"/>
      <c r="L110" s="27" t="s">
        <v>166</v>
      </c>
      <c r="M110" s="27" t="s">
        <v>169</v>
      </c>
      <c r="N110" s="27"/>
    </row>
    <row r="111" spans="1:14" x14ac:dyDescent="0.25">
      <c r="A111" s="27">
        <v>43</v>
      </c>
      <c r="B111" s="29" t="s">
        <v>248</v>
      </c>
      <c r="C111" s="27" t="s">
        <v>163</v>
      </c>
      <c r="D111" s="28" t="s">
        <v>115</v>
      </c>
      <c r="E111" s="27" t="s">
        <v>296</v>
      </c>
      <c r="F111" s="28" t="s">
        <v>144</v>
      </c>
      <c r="G111" s="28">
        <v>20000</v>
      </c>
      <c r="H111" s="31">
        <v>23023</v>
      </c>
      <c r="I111" s="30">
        <v>44810</v>
      </c>
      <c r="J111" s="29" t="s">
        <v>263</v>
      </c>
      <c r="K111" s="28"/>
      <c r="L111" s="27" t="s">
        <v>166</v>
      </c>
      <c r="M111" s="27" t="s">
        <v>170</v>
      </c>
      <c r="N111" s="27"/>
    </row>
    <row r="112" spans="1:14" x14ac:dyDescent="0.25">
      <c r="A112" s="27">
        <v>43</v>
      </c>
      <c r="B112" s="29" t="s">
        <v>248</v>
      </c>
      <c r="C112" s="27" t="s">
        <v>163</v>
      </c>
      <c r="D112" s="28" t="s">
        <v>115</v>
      </c>
      <c r="E112" s="27" t="s">
        <v>297</v>
      </c>
      <c r="F112" s="28" t="s">
        <v>146</v>
      </c>
      <c r="G112" s="28">
        <v>20000</v>
      </c>
      <c r="H112" s="31">
        <v>23023</v>
      </c>
      <c r="I112" s="30">
        <v>44810</v>
      </c>
      <c r="J112" s="29" t="s">
        <v>263</v>
      </c>
      <c r="K112" s="28"/>
      <c r="L112" s="27" t="s">
        <v>166</v>
      </c>
      <c r="M112" s="27" t="s">
        <v>170</v>
      </c>
      <c r="N112" s="27"/>
    </row>
    <row r="113" spans="1:14" x14ac:dyDescent="0.25">
      <c r="A113" s="27">
        <v>36</v>
      </c>
      <c r="B113" s="29" t="s">
        <v>248</v>
      </c>
      <c r="C113" s="27" t="s">
        <v>163</v>
      </c>
      <c r="D113" s="28" t="s">
        <v>115</v>
      </c>
      <c r="E113" s="27" t="s">
        <v>264</v>
      </c>
      <c r="F113" s="28" t="s">
        <v>116</v>
      </c>
      <c r="G113" s="28">
        <v>30000</v>
      </c>
      <c r="H113" s="28">
        <v>27332</v>
      </c>
      <c r="I113" s="30">
        <v>44445</v>
      </c>
      <c r="J113" s="30">
        <v>46331</v>
      </c>
      <c r="K113" s="28"/>
      <c r="L113" s="27" t="s">
        <v>167</v>
      </c>
      <c r="M113" s="32" t="s">
        <v>56</v>
      </c>
      <c r="N113" s="27"/>
    </row>
    <row r="114" spans="1:14" x14ac:dyDescent="0.25">
      <c r="A114" s="27">
        <v>36</v>
      </c>
      <c r="B114" s="29" t="s">
        <v>248</v>
      </c>
      <c r="C114" s="27" t="s">
        <v>163</v>
      </c>
      <c r="D114" s="28" t="s">
        <v>115</v>
      </c>
      <c r="E114" s="27" t="s">
        <v>298</v>
      </c>
      <c r="F114" s="28" t="s">
        <v>118</v>
      </c>
      <c r="G114" s="28">
        <v>30000</v>
      </c>
      <c r="H114" s="28">
        <v>20677</v>
      </c>
      <c r="I114" s="29" t="s">
        <v>265</v>
      </c>
      <c r="J114" s="30">
        <v>46664</v>
      </c>
      <c r="K114" s="28"/>
      <c r="L114" s="27" t="s">
        <v>167</v>
      </c>
      <c r="M114" s="32" t="s">
        <v>56</v>
      </c>
      <c r="N114" s="27"/>
    </row>
    <row r="115" spans="1:14" x14ac:dyDescent="0.25">
      <c r="A115" s="27">
        <v>37</v>
      </c>
      <c r="B115" s="29" t="s">
        <v>248</v>
      </c>
      <c r="C115" s="27" t="s">
        <v>163</v>
      </c>
      <c r="D115" s="28" t="s">
        <v>115</v>
      </c>
      <c r="E115" s="27" t="s">
        <v>299</v>
      </c>
      <c r="F115" s="28" t="s">
        <v>120</v>
      </c>
      <c r="G115" s="28">
        <v>25000</v>
      </c>
      <c r="H115" s="28">
        <v>23023</v>
      </c>
      <c r="I115" s="30">
        <v>44810</v>
      </c>
      <c r="J115" s="30">
        <v>46297</v>
      </c>
      <c r="K115" s="28"/>
      <c r="L115" s="27" t="s">
        <v>166</v>
      </c>
      <c r="M115" s="27" t="s">
        <v>170</v>
      </c>
      <c r="N115" s="27"/>
    </row>
    <row r="116" spans="1:14" x14ac:dyDescent="0.25">
      <c r="A116" s="27">
        <v>37</v>
      </c>
      <c r="B116" s="29" t="s">
        <v>248</v>
      </c>
      <c r="C116" s="27" t="s">
        <v>163</v>
      </c>
      <c r="D116" s="28" t="s">
        <v>115</v>
      </c>
      <c r="E116" s="27" t="s">
        <v>300</v>
      </c>
      <c r="F116" s="28" t="s">
        <v>122</v>
      </c>
      <c r="G116" s="28">
        <v>25000</v>
      </c>
      <c r="H116" s="28">
        <v>23023</v>
      </c>
      <c r="I116" s="30">
        <v>44810</v>
      </c>
      <c r="J116" s="30">
        <v>46297</v>
      </c>
      <c r="K116" s="28"/>
      <c r="L116" s="27" t="s">
        <v>166</v>
      </c>
      <c r="M116" s="27" t="s">
        <v>170</v>
      </c>
      <c r="N116" s="27"/>
    </row>
    <row r="117" spans="1:14" x14ac:dyDescent="0.25">
      <c r="A117" s="27">
        <v>38</v>
      </c>
      <c r="B117" s="29" t="s">
        <v>248</v>
      </c>
      <c r="C117" s="27" t="s">
        <v>163</v>
      </c>
      <c r="D117" s="28" t="s">
        <v>115</v>
      </c>
      <c r="E117" s="27" t="s">
        <v>301</v>
      </c>
      <c r="F117" s="28" t="s">
        <v>124</v>
      </c>
      <c r="G117" s="28">
        <v>25000</v>
      </c>
      <c r="H117" s="28">
        <v>7074</v>
      </c>
      <c r="I117" s="30">
        <v>45728</v>
      </c>
      <c r="J117" s="29" t="s">
        <v>266</v>
      </c>
      <c r="K117" s="28"/>
      <c r="L117" s="27" t="s">
        <v>167</v>
      </c>
      <c r="M117" s="32" t="s">
        <v>56</v>
      </c>
      <c r="N117" s="27"/>
    </row>
    <row r="118" spans="1:14" x14ac:dyDescent="0.25">
      <c r="A118" s="27">
        <v>38</v>
      </c>
      <c r="B118" s="29" t="s">
        <v>248</v>
      </c>
      <c r="C118" s="27" t="s">
        <v>163</v>
      </c>
      <c r="D118" s="28" t="s">
        <v>115</v>
      </c>
      <c r="E118" s="27" t="s">
        <v>302</v>
      </c>
      <c r="F118" s="28" t="s">
        <v>127</v>
      </c>
      <c r="G118" s="28">
        <v>25000</v>
      </c>
      <c r="H118" s="28">
        <v>459</v>
      </c>
      <c r="I118" s="30">
        <v>46156</v>
      </c>
      <c r="J118" s="30">
        <v>47425</v>
      </c>
      <c r="K118" s="28"/>
      <c r="L118" s="27" t="s">
        <v>167</v>
      </c>
      <c r="M118" s="32" t="s">
        <v>56</v>
      </c>
      <c r="N118" s="27"/>
    </row>
    <row r="119" spans="1:14" x14ac:dyDescent="0.25">
      <c r="A119" s="27">
        <v>39</v>
      </c>
      <c r="B119" s="29" t="s">
        <v>248</v>
      </c>
      <c r="C119" s="27" t="s">
        <v>163</v>
      </c>
      <c r="D119" s="28" t="s">
        <v>115</v>
      </c>
      <c r="E119" s="27" t="s">
        <v>303</v>
      </c>
      <c r="F119" s="28" t="s">
        <v>129</v>
      </c>
      <c r="G119" s="28">
        <v>25000</v>
      </c>
      <c r="H119" s="28">
        <v>7074</v>
      </c>
      <c r="I119" s="30">
        <v>45728</v>
      </c>
      <c r="J119" s="29" t="s">
        <v>266</v>
      </c>
      <c r="K119" s="28"/>
      <c r="L119" s="27" t="s">
        <v>167</v>
      </c>
      <c r="M119" s="32" t="s">
        <v>56</v>
      </c>
      <c r="N119" s="27"/>
    </row>
    <row r="120" spans="1:14" x14ac:dyDescent="0.25">
      <c r="A120" s="27">
        <v>39</v>
      </c>
      <c r="B120" s="29" t="s">
        <v>248</v>
      </c>
      <c r="C120" s="27" t="s">
        <v>163</v>
      </c>
      <c r="D120" s="28" t="s">
        <v>115</v>
      </c>
      <c r="E120" s="27" t="s">
        <v>304</v>
      </c>
      <c r="F120" s="28" t="s">
        <v>131</v>
      </c>
      <c r="G120" s="28">
        <v>25000</v>
      </c>
      <c r="H120" s="28">
        <v>459</v>
      </c>
      <c r="I120" s="30">
        <v>46156</v>
      </c>
      <c r="J120" s="30">
        <v>47425</v>
      </c>
      <c r="K120" s="28"/>
      <c r="L120" s="27" t="s">
        <v>167</v>
      </c>
      <c r="M120" s="32" t="s">
        <v>56</v>
      </c>
      <c r="N120" s="27"/>
    </row>
    <row r="121" spans="1:14" x14ac:dyDescent="0.25">
      <c r="A121" s="27">
        <v>40</v>
      </c>
      <c r="B121" s="29" t="s">
        <v>248</v>
      </c>
      <c r="C121" s="27" t="s">
        <v>163</v>
      </c>
      <c r="D121" s="28" t="s">
        <v>115</v>
      </c>
      <c r="E121" s="27" t="s">
        <v>305</v>
      </c>
      <c r="F121" s="28" t="s">
        <v>133</v>
      </c>
      <c r="G121" s="28">
        <v>5000</v>
      </c>
      <c r="H121" s="31">
        <v>7757</v>
      </c>
      <c r="I121" s="30">
        <v>45693</v>
      </c>
      <c r="J121" s="30">
        <v>46060</v>
      </c>
      <c r="K121" s="28"/>
      <c r="L121" s="27" t="s">
        <v>167</v>
      </c>
      <c r="M121" s="32" t="s">
        <v>56</v>
      </c>
      <c r="N121" s="27"/>
    </row>
    <row r="122" spans="1:14" x14ac:dyDescent="0.25">
      <c r="A122" s="27">
        <v>40</v>
      </c>
      <c r="B122" s="29" t="s">
        <v>248</v>
      </c>
      <c r="C122" s="27" t="s">
        <v>163</v>
      </c>
      <c r="D122" s="28" t="s">
        <v>115</v>
      </c>
      <c r="E122" s="27" t="s">
        <v>306</v>
      </c>
      <c r="F122" s="28" t="s">
        <v>135</v>
      </c>
      <c r="G122" s="28">
        <v>5000</v>
      </c>
      <c r="H122" s="31">
        <v>8513</v>
      </c>
      <c r="I122" s="29" t="s">
        <v>267</v>
      </c>
      <c r="J122" s="29" t="s">
        <v>268</v>
      </c>
      <c r="K122" s="28"/>
      <c r="L122" s="27" t="s">
        <v>167</v>
      </c>
      <c r="M122" s="32" t="s">
        <v>56</v>
      </c>
      <c r="N122" s="27"/>
    </row>
    <row r="123" spans="1:14" x14ac:dyDescent="0.25">
      <c r="A123" s="27">
        <v>44</v>
      </c>
      <c r="B123" s="29" t="s">
        <v>248</v>
      </c>
      <c r="C123" s="27" t="s">
        <v>163</v>
      </c>
      <c r="D123" s="28" t="s">
        <v>148</v>
      </c>
      <c r="E123" s="27" t="s">
        <v>269</v>
      </c>
      <c r="F123" s="28" t="s">
        <v>149</v>
      </c>
      <c r="G123" s="28">
        <v>20000</v>
      </c>
      <c r="H123" s="28">
        <v>3238</v>
      </c>
      <c r="I123" s="30">
        <v>45945</v>
      </c>
      <c r="J123" s="30">
        <v>47036</v>
      </c>
      <c r="K123" s="28"/>
      <c r="L123" s="27" t="s">
        <v>166</v>
      </c>
      <c r="M123" s="27" t="s">
        <v>169</v>
      </c>
      <c r="N123" s="27"/>
    </row>
  </sheetData>
  <autoFilter ref="B1:N62" xr:uid="{238D681F-0DF8-4F04-A54A-0DF12CD85F8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C3073-9F17-4421-A247-067FB2687FBC}">
  <dimension ref="A1:R45"/>
  <sheetViews>
    <sheetView topLeftCell="A4" workbookViewId="0">
      <selection activeCell="E21" sqref="E21"/>
    </sheetView>
  </sheetViews>
  <sheetFormatPr defaultRowHeight="15" x14ac:dyDescent="0.25"/>
  <cols>
    <col min="1" max="1" width="18.7109375" bestFit="1" customWidth="1"/>
    <col min="2" max="2" width="36.28515625" bestFit="1" customWidth="1"/>
    <col min="3" max="4" width="28.140625" bestFit="1" customWidth="1"/>
    <col min="5" max="5" width="29.7109375" bestFit="1" customWidth="1"/>
    <col min="6" max="6" width="11.7109375" bestFit="1" customWidth="1"/>
    <col min="7" max="7" width="24" bestFit="1" customWidth="1"/>
    <col min="8" max="8" width="25.140625" bestFit="1" customWidth="1"/>
    <col min="9" max="9" width="17.5703125" bestFit="1" customWidth="1"/>
    <col min="10" max="10" width="34.42578125" bestFit="1" customWidth="1"/>
    <col min="11" max="11" width="39.85546875" bestFit="1" customWidth="1"/>
    <col min="12" max="12" width="35.85546875" bestFit="1" customWidth="1"/>
    <col min="13" max="13" width="41.28515625" bestFit="1" customWidth="1"/>
    <col min="14" max="14" width="26.42578125" bestFit="1" customWidth="1"/>
    <col min="15" max="15" width="44.7109375" bestFit="1" customWidth="1"/>
    <col min="16" max="16" width="26.28515625" bestFit="1" customWidth="1"/>
    <col min="17" max="17" width="31.7109375" bestFit="1" customWidth="1"/>
    <col min="18" max="18" width="14" bestFit="1" customWidth="1"/>
  </cols>
  <sheetData>
    <row r="1" spans="1:18" x14ac:dyDescent="0.25">
      <c r="A1" t="s">
        <v>203</v>
      </c>
      <c r="B1" t="s">
        <v>153</v>
      </c>
      <c r="C1" t="s">
        <v>242</v>
      </c>
      <c r="D1" t="s">
        <v>160</v>
      </c>
      <c r="E1" t="s">
        <v>243</v>
      </c>
      <c r="F1" t="s">
        <v>161</v>
      </c>
      <c r="G1" t="s">
        <v>230</v>
      </c>
      <c r="H1" t="s">
        <v>231</v>
      </c>
      <c r="I1" t="s">
        <v>232</v>
      </c>
      <c r="J1" t="s">
        <v>244</v>
      </c>
      <c r="K1" t="s">
        <v>245</v>
      </c>
      <c r="L1" t="s">
        <v>246</v>
      </c>
      <c r="M1" t="s">
        <v>247</v>
      </c>
      <c r="N1" t="s">
        <v>233</v>
      </c>
      <c r="O1" t="s">
        <v>234</v>
      </c>
      <c r="P1" t="s">
        <v>235</v>
      </c>
      <c r="Q1" t="s">
        <v>236</v>
      </c>
      <c r="R1" t="s">
        <v>165</v>
      </c>
    </row>
    <row r="2" spans="1:18" x14ac:dyDescent="0.25">
      <c r="A2" s="21">
        <v>1</v>
      </c>
      <c r="B2" s="21" t="str">
        <f>VLOOKUP(A2,BASE_COMPONENTES!$A$2:$G$62,6,FALSE)</f>
        <v>HRS. ACUMULADAS OVERHAUL</v>
      </c>
      <c r="C2" s="22"/>
      <c r="F2" s="21" t="s">
        <v>228</v>
      </c>
      <c r="G2" s="21">
        <v>0</v>
      </c>
      <c r="H2" s="21">
        <v>90</v>
      </c>
      <c r="I2" s="21" t="s">
        <v>237</v>
      </c>
      <c r="J2" s="21">
        <v>72403348</v>
      </c>
      <c r="K2" s="21" t="s">
        <v>240</v>
      </c>
      <c r="L2" s="21">
        <v>72403348</v>
      </c>
      <c r="M2" s="21" t="s">
        <v>240</v>
      </c>
      <c r="N2" s="21">
        <v>72403398</v>
      </c>
      <c r="O2" s="21" t="s">
        <v>238</v>
      </c>
      <c r="P2" s="21">
        <v>72504416</v>
      </c>
      <c r="Q2" s="21" t="s">
        <v>239</v>
      </c>
    </row>
    <row r="3" spans="1:18" x14ac:dyDescent="0.25">
      <c r="A3" s="21">
        <v>2</v>
      </c>
      <c r="B3" s="21" t="str">
        <f>VLOOKUP(A3,BASE_COMPONENTES!$A$2:$G$62,6,FALSE)</f>
        <v>ASIENTO OPERADOR</v>
      </c>
      <c r="C3" s="16">
        <v>6600</v>
      </c>
      <c r="D3" s="20"/>
      <c r="F3" s="21" t="s">
        <v>228</v>
      </c>
      <c r="G3" s="21">
        <v>0</v>
      </c>
      <c r="H3" s="21">
        <v>0</v>
      </c>
      <c r="I3" s="21" t="s">
        <v>241</v>
      </c>
      <c r="J3" s="21">
        <v>72403348</v>
      </c>
      <c r="K3" s="21" t="s">
        <v>240</v>
      </c>
      <c r="L3" s="21">
        <v>72403348</v>
      </c>
      <c r="M3" s="21" t="s">
        <v>240</v>
      </c>
      <c r="N3" s="21">
        <v>72403398</v>
      </c>
      <c r="O3" s="21" t="s">
        <v>238</v>
      </c>
      <c r="P3" s="21">
        <v>72504416</v>
      </c>
      <c r="Q3" s="21" t="s">
        <v>239</v>
      </c>
    </row>
    <row r="4" spans="1:18" x14ac:dyDescent="0.25">
      <c r="A4" s="21">
        <v>3</v>
      </c>
      <c r="B4" s="21" t="str">
        <f>VLOOKUP(A4,BASE_COMPONENTES!$A$2:$G$62,6,FALSE)</f>
        <v>CILINDRO DE ESCALERA RH</v>
      </c>
      <c r="C4" s="16">
        <v>3165.1367</v>
      </c>
      <c r="D4" s="16">
        <v>1200</v>
      </c>
      <c r="F4" s="21" t="s">
        <v>228</v>
      </c>
      <c r="G4" s="21">
        <v>0</v>
      </c>
      <c r="H4" s="21">
        <v>30</v>
      </c>
      <c r="I4" s="21" t="s">
        <v>241</v>
      </c>
      <c r="J4" s="21">
        <v>72403348</v>
      </c>
      <c r="K4" s="21" t="s">
        <v>240</v>
      </c>
      <c r="L4" s="21">
        <v>72403348</v>
      </c>
      <c r="M4" s="21" t="s">
        <v>240</v>
      </c>
      <c r="N4" s="21">
        <v>72403398</v>
      </c>
      <c r="O4" s="21" t="s">
        <v>238</v>
      </c>
      <c r="P4" s="21">
        <v>72504416</v>
      </c>
      <c r="Q4" s="21" t="s">
        <v>239</v>
      </c>
    </row>
    <row r="5" spans="1:18" x14ac:dyDescent="0.25">
      <c r="A5" s="21">
        <v>4</v>
      </c>
      <c r="B5" s="21" t="str">
        <f>VLOOKUP(A5,BASE_COMPONENTES!$A$2:$G$62,6,FALSE)</f>
        <v>CAJA DE EMPUJE</v>
      </c>
      <c r="C5" s="21"/>
      <c r="E5" s="16">
        <v>187206.29</v>
      </c>
      <c r="F5" s="21" t="s">
        <v>228</v>
      </c>
      <c r="G5" s="21">
        <v>0</v>
      </c>
      <c r="H5" s="21">
        <v>30</v>
      </c>
      <c r="I5" s="21" t="s">
        <v>237</v>
      </c>
      <c r="J5" s="21">
        <v>72403348</v>
      </c>
      <c r="K5" s="21" t="s">
        <v>240</v>
      </c>
      <c r="L5" s="21">
        <v>72403348</v>
      </c>
      <c r="M5" s="21" t="s">
        <v>240</v>
      </c>
      <c r="N5" s="21">
        <v>72403398</v>
      </c>
      <c r="O5" s="21" t="s">
        <v>238</v>
      </c>
      <c r="P5" s="21">
        <v>72504416</v>
      </c>
      <c r="Q5" s="21" t="s">
        <v>239</v>
      </c>
    </row>
    <row r="6" spans="1:18" x14ac:dyDescent="0.25">
      <c r="A6" s="21">
        <v>5</v>
      </c>
      <c r="B6" s="21" t="str">
        <f>VLOOKUP(A6,BASE_COMPONENTES!$A$2:$G$62,6,FALSE)</f>
        <v>EJE DE EMPUJE - SHIPER SHAFT (PN: R3989D2/R3989D3)</v>
      </c>
      <c r="C6" s="16">
        <v>145757.92000000001</v>
      </c>
      <c r="D6" s="20"/>
      <c r="F6" s="21" t="s">
        <v>228</v>
      </c>
      <c r="G6" s="21">
        <v>0</v>
      </c>
      <c r="H6" s="21">
        <v>0</v>
      </c>
      <c r="I6" s="21" t="s">
        <v>241</v>
      </c>
      <c r="J6" s="21">
        <v>72403348</v>
      </c>
      <c r="K6" s="21" t="s">
        <v>240</v>
      </c>
      <c r="L6" s="21">
        <v>72403348</v>
      </c>
      <c r="M6" s="21" t="s">
        <v>240</v>
      </c>
      <c r="N6" s="21">
        <v>72403398</v>
      </c>
      <c r="O6" s="21" t="s">
        <v>238</v>
      </c>
      <c r="P6" s="21">
        <v>72504416</v>
      </c>
      <c r="Q6" s="21" t="s">
        <v>239</v>
      </c>
    </row>
    <row r="7" spans="1:18" x14ac:dyDescent="0.25">
      <c r="A7" s="21">
        <v>6</v>
      </c>
      <c r="B7" s="21" t="str">
        <f>VLOOKUP(A7,BASE_COMPONENTES!$A$2:$G$62,6,FALSE)</f>
        <v>ENGRANAJE DE EMPUJE</v>
      </c>
      <c r="C7" s="16">
        <v>154040</v>
      </c>
      <c r="D7" s="20"/>
      <c r="F7" s="21" t="s">
        <v>228</v>
      </c>
      <c r="G7" s="21">
        <v>0</v>
      </c>
      <c r="H7" s="21">
        <v>0</v>
      </c>
      <c r="I7" s="21" t="s">
        <v>241</v>
      </c>
      <c r="J7" s="21">
        <v>72403348</v>
      </c>
      <c r="K7" s="21" t="s">
        <v>240</v>
      </c>
      <c r="L7" s="21">
        <v>72403348</v>
      </c>
      <c r="M7" s="21" t="s">
        <v>240</v>
      </c>
      <c r="N7" s="21">
        <v>72403398</v>
      </c>
      <c r="O7" s="21" t="s">
        <v>238</v>
      </c>
      <c r="P7" s="21">
        <v>72504416</v>
      </c>
      <c r="Q7" s="21" t="s">
        <v>239</v>
      </c>
    </row>
    <row r="8" spans="1:18" x14ac:dyDescent="0.25">
      <c r="A8" s="21">
        <v>7</v>
      </c>
      <c r="B8" s="21" t="str">
        <f>VLOOKUP(A8,BASE_COMPONENTES!$A$2:$G$62,6,FALSE)</f>
        <v>PIÑONES DE EMPUJE</v>
      </c>
      <c r="C8" s="16">
        <v>119660</v>
      </c>
      <c r="D8" s="20"/>
      <c r="F8" s="21" t="s">
        <v>228</v>
      </c>
      <c r="G8" s="21">
        <v>0</v>
      </c>
      <c r="H8" s="21">
        <v>0</v>
      </c>
      <c r="I8" s="21" t="s">
        <v>241</v>
      </c>
      <c r="J8" s="21">
        <v>72403348</v>
      </c>
      <c r="K8" s="21" t="s">
        <v>240</v>
      </c>
      <c r="L8" s="21">
        <v>72403348</v>
      </c>
      <c r="M8" s="21" t="s">
        <v>240</v>
      </c>
      <c r="N8" s="21">
        <v>72403398</v>
      </c>
      <c r="O8" s="21" t="s">
        <v>238</v>
      </c>
      <c r="P8" s="21">
        <v>72504416</v>
      </c>
      <c r="Q8" s="21" t="s">
        <v>239</v>
      </c>
    </row>
    <row r="9" spans="1:18" x14ac:dyDescent="0.25">
      <c r="A9" s="21">
        <v>8</v>
      </c>
      <c r="B9" s="21" t="str">
        <f>VLOOKUP(A9,BASE_COMPONENTES!$A$2:$G$62,6,FALSE)</f>
        <v>BRAZOS DE EMPUJE</v>
      </c>
      <c r="C9" s="20"/>
      <c r="D9" s="16">
        <v>87000</v>
      </c>
      <c r="E9" s="16">
        <f>296340-D9</f>
        <v>209340</v>
      </c>
      <c r="F9" s="21" t="s">
        <v>228</v>
      </c>
      <c r="G9" s="21">
        <v>0</v>
      </c>
      <c r="H9" s="21">
        <v>45</v>
      </c>
      <c r="I9" s="21" t="s">
        <v>237</v>
      </c>
      <c r="J9" s="21">
        <v>72403348</v>
      </c>
      <c r="K9" s="21" t="s">
        <v>240</v>
      </c>
      <c r="L9" s="21">
        <v>72403348</v>
      </c>
      <c r="M9" s="21" t="s">
        <v>240</v>
      </c>
      <c r="N9" s="21">
        <v>72403398</v>
      </c>
      <c r="O9" s="21" t="s">
        <v>238</v>
      </c>
      <c r="P9" s="21">
        <v>72504416</v>
      </c>
      <c r="Q9" s="21" t="s">
        <v>239</v>
      </c>
    </row>
    <row r="10" spans="1:18" x14ac:dyDescent="0.25">
      <c r="A10" s="21">
        <v>9</v>
      </c>
      <c r="B10" s="21" t="str">
        <f>VLOOKUP(A10,BASE_COMPONENTES!$A$2:$G$62,6,FALSE)</f>
        <v>MONTURA DERECHA</v>
      </c>
      <c r="C10" s="20"/>
      <c r="D10" s="16">
        <v>123179.97</v>
      </c>
      <c r="F10" s="21" t="s">
        <v>228</v>
      </c>
      <c r="G10" s="21">
        <v>0</v>
      </c>
      <c r="H10" s="21">
        <v>90</v>
      </c>
      <c r="I10" s="21" t="s">
        <v>241</v>
      </c>
      <c r="J10" s="21">
        <v>72403348</v>
      </c>
      <c r="K10" s="21" t="s">
        <v>240</v>
      </c>
      <c r="L10" s="21">
        <v>72403348</v>
      </c>
      <c r="M10" s="21" t="s">
        <v>240</v>
      </c>
      <c r="N10" s="21">
        <v>72403398</v>
      </c>
      <c r="O10" s="21" t="s">
        <v>238</v>
      </c>
      <c r="P10" s="21">
        <v>72504416</v>
      </c>
      <c r="Q10" s="21" t="s">
        <v>239</v>
      </c>
    </row>
    <row r="11" spans="1:18" x14ac:dyDescent="0.25">
      <c r="A11" s="21">
        <v>10</v>
      </c>
      <c r="B11" s="21" t="str">
        <f>VLOOKUP(A11,BASE_COMPONENTES!$A$2:$G$62,6,FALSE)</f>
        <v>CUCHARON - PIN Y BUJE DE OREJA</v>
      </c>
      <c r="C11" s="16">
        <v>20474.599999999999</v>
      </c>
      <c r="F11" s="21" t="s">
        <v>228</v>
      </c>
      <c r="G11" s="21">
        <v>0</v>
      </c>
      <c r="H11" s="21">
        <v>0</v>
      </c>
      <c r="I11" s="21" t="s">
        <v>241</v>
      </c>
      <c r="J11" s="21">
        <v>72403348</v>
      </c>
      <c r="K11" s="21" t="s">
        <v>240</v>
      </c>
      <c r="L11" s="21">
        <v>72403348</v>
      </c>
      <c r="M11" s="21" t="s">
        <v>240</v>
      </c>
      <c r="N11" s="21">
        <v>72403398</v>
      </c>
      <c r="O11" s="21" t="s">
        <v>238</v>
      </c>
      <c r="P11" s="21">
        <v>72504416</v>
      </c>
      <c r="Q11" s="21" t="s">
        <v>239</v>
      </c>
    </row>
    <row r="12" spans="1:18" x14ac:dyDescent="0.25">
      <c r="A12" s="21">
        <v>11</v>
      </c>
      <c r="B12" s="21" t="str">
        <f>VLOOKUP(A12,BASE_COMPONENTES!$A$2:$G$62,6,FALSE)</f>
        <v>CUCHARON</v>
      </c>
      <c r="D12" s="16">
        <v>193447.24</v>
      </c>
      <c r="E12" s="16">
        <v>306543.01</v>
      </c>
      <c r="F12" s="21" t="s">
        <v>228</v>
      </c>
      <c r="G12" s="21">
        <v>0</v>
      </c>
      <c r="H12" s="21">
        <v>45</v>
      </c>
      <c r="I12" s="21" t="s">
        <v>237</v>
      </c>
      <c r="J12" s="21">
        <v>72403348</v>
      </c>
      <c r="K12" s="21" t="s">
        <v>240</v>
      </c>
      <c r="L12" s="21">
        <v>72403348</v>
      </c>
      <c r="M12" s="21" t="s">
        <v>240</v>
      </c>
      <c r="N12" s="21">
        <v>72403398</v>
      </c>
      <c r="O12" s="21" t="s">
        <v>238</v>
      </c>
      <c r="P12" s="21">
        <v>72504416</v>
      </c>
      <c r="Q12" s="21" t="s">
        <v>239</v>
      </c>
    </row>
    <row r="13" spans="1:18" x14ac:dyDescent="0.25">
      <c r="A13" s="21">
        <v>12</v>
      </c>
      <c r="B13" s="21" t="str">
        <f>VLOOKUP(A13,BASE_COMPONENTES!$A$2:$G$62,6,FALSE)</f>
        <v>CUCHARON - COMPUERTA</v>
      </c>
      <c r="C13" s="20"/>
      <c r="D13" s="16">
        <v>0</v>
      </c>
      <c r="F13" s="21" t="s">
        <v>228</v>
      </c>
      <c r="G13" s="21">
        <v>0</v>
      </c>
      <c r="H13" s="21">
        <v>45</v>
      </c>
      <c r="I13" s="21" t="s">
        <v>237</v>
      </c>
      <c r="J13" s="21">
        <v>72403348</v>
      </c>
      <c r="K13" s="21" t="s">
        <v>240</v>
      </c>
      <c r="L13" s="21">
        <v>72403348</v>
      </c>
      <c r="M13" s="21" t="s">
        <v>240</v>
      </c>
      <c r="N13" s="21">
        <v>72403398</v>
      </c>
      <c r="O13" s="21" t="s">
        <v>238</v>
      </c>
      <c r="P13" s="21">
        <v>72504416</v>
      </c>
      <c r="Q13" s="21" t="s">
        <v>239</v>
      </c>
    </row>
    <row r="14" spans="1:18" x14ac:dyDescent="0.25">
      <c r="A14" s="21">
        <v>13</v>
      </c>
      <c r="B14" s="21" t="str">
        <f>VLOOKUP(A14,BASE_COMPONENTES!$A$2:$G$62,6,FALSE)</f>
        <v>CUCHARON - BARRETON</v>
      </c>
      <c r="C14" s="16">
        <v>61862.559999999998</v>
      </c>
      <c r="D14" s="24">
        <v>4334</v>
      </c>
      <c r="E14" s="16">
        <f>10276.31-D14</f>
        <v>5942.3099999999995</v>
      </c>
      <c r="F14" s="21" t="s">
        <v>228</v>
      </c>
      <c r="G14" s="21">
        <v>0</v>
      </c>
      <c r="H14" s="21">
        <v>0</v>
      </c>
      <c r="I14" s="21" t="s">
        <v>237</v>
      </c>
      <c r="J14" s="21">
        <v>72403348</v>
      </c>
      <c r="K14" s="21" t="s">
        <v>240</v>
      </c>
      <c r="L14" s="21">
        <v>72403348</v>
      </c>
      <c r="M14" s="21" t="s">
        <v>240</v>
      </c>
      <c r="N14" s="21">
        <v>72403398</v>
      </c>
      <c r="O14" s="21" t="s">
        <v>238</v>
      </c>
      <c r="P14" s="21">
        <v>72504416</v>
      </c>
      <c r="Q14" s="21" t="s">
        <v>239</v>
      </c>
    </row>
    <row r="15" spans="1:18" x14ac:dyDescent="0.25">
      <c r="A15" s="21">
        <v>14</v>
      </c>
      <c r="B15" s="21" t="str">
        <f>VLOOKUP(A15,BASE_COMPONENTES!$A$2:$G$62,6,FALSE)</f>
        <v>CUCHARON - ESPADA</v>
      </c>
      <c r="C15" s="16">
        <v>4000</v>
      </c>
      <c r="D15" s="16"/>
      <c r="F15" s="21" t="s">
        <v>228</v>
      </c>
      <c r="G15" s="21">
        <v>0</v>
      </c>
      <c r="H15" s="21">
        <v>0</v>
      </c>
      <c r="I15" s="21" t="s">
        <v>237</v>
      </c>
      <c r="J15" s="21">
        <v>72403348</v>
      </c>
      <c r="K15" s="21" t="s">
        <v>240</v>
      </c>
      <c r="L15" s="21">
        <v>72403348</v>
      </c>
      <c r="M15" s="21" t="s">
        <v>240</v>
      </c>
      <c r="N15" s="21">
        <v>72403398</v>
      </c>
      <c r="O15" s="21" t="s">
        <v>238</v>
      </c>
      <c r="P15" s="21">
        <v>72504416</v>
      </c>
      <c r="Q15" s="21" t="s">
        <v>239</v>
      </c>
    </row>
    <row r="16" spans="1:18" x14ac:dyDescent="0.25">
      <c r="A16" s="21">
        <v>15</v>
      </c>
      <c r="B16" s="21" t="str">
        <f>VLOOKUP(A16,BASE_COMPONENTES!$A$2:$G$62,6,FALSE)</f>
        <v>FRENO DE COMPUERTA DERECHO</v>
      </c>
      <c r="C16" s="16">
        <v>68000</v>
      </c>
      <c r="D16" s="16">
        <v>36446.5</v>
      </c>
      <c r="F16" s="21" t="s">
        <v>228</v>
      </c>
      <c r="G16" s="21">
        <v>0</v>
      </c>
      <c r="H16" s="21">
        <v>90</v>
      </c>
      <c r="I16" s="21" t="s">
        <v>241</v>
      </c>
      <c r="J16" s="21">
        <v>72403348</v>
      </c>
      <c r="K16" s="21" t="s">
        <v>240</v>
      </c>
      <c r="L16" s="21">
        <v>72403348</v>
      </c>
      <c r="M16" s="21" t="s">
        <v>240</v>
      </c>
      <c r="N16" s="21">
        <v>72403398</v>
      </c>
      <c r="O16" s="21" t="s">
        <v>238</v>
      </c>
      <c r="P16" s="21">
        <v>72504416</v>
      </c>
      <c r="Q16" s="21" t="s">
        <v>239</v>
      </c>
    </row>
    <row r="17" spans="1:17" x14ac:dyDescent="0.25">
      <c r="A17" s="21">
        <v>16</v>
      </c>
      <c r="B17" s="21" t="str">
        <f>VLOOKUP(A17,BASE_COMPONENTES!$A$2:$G$62,6,FALSE)</f>
        <v>FRENO DE EMPUJE</v>
      </c>
      <c r="C17" s="16"/>
      <c r="E17" s="16">
        <v>10479.86</v>
      </c>
      <c r="F17" s="21" t="s">
        <v>228</v>
      </c>
      <c r="G17" s="21">
        <v>0</v>
      </c>
      <c r="H17" s="21">
        <v>0</v>
      </c>
      <c r="I17" s="21" t="s">
        <v>237</v>
      </c>
      <c r="J17" s="21">
        <v>72403348</v>
      </c>
      <c r="K17" s="21" t="s">
        <v>240</v>
      </c>
      <c r="L17" s="21">
        <v>72403348</v>
      </c>
      <c r="M17" s="21" t="s">
        <v>240</v>
      </c>
      <c r="N17" s="21">
        <v>72403398</v>
      </c>
      <c r="O17" s="21" t="s">
        <v>238</v>
      </c>
      <c r="P17" s="21">
        <v>72504416</v>
      </c>
      <c r="Q17" s="21" t="s">
        <v>239</v>
      </c>
    </row>
    <row r="18" spans="1:17" x14ac:dyDescent="0.25">
      <c r="A18" s="21">
        <v>17</v>
      </c>
      <c r="B18" s="21" t="str">
        <f>VLOOKUP(A18,BASE_COMPONENTES!$A$2:$G$62,6,FALSE)</f>
        <v>FAJAS DE EMPUJE</v>
      </c>
      <c r="C18" s="16">
        <v>4556.03</v>
      </c>
      <c r="D18" s="16"/>
      <c r="F18" s="21" t="s">
        <v>228</v>
      </c>
      <c r="G18" s="21">
        <v>0</v>
      </c>
      <c r="H18" s="21">
        <v>0</v>
      </c>
      <c r="I18" s="21" t="s">
        <v>241</v>
      </c>
      <c r="J18" s="21">
        <v>72403348</v>
      </c>
      <c r="K18" s="21" t="s">
        <v>240</v>
      </c>
      <c r="L18" s="21">
        <v>72403348</v>
      </c>
      <c r="M18" s="21" t="s">
        <v>240</v>
      </c>
      <c r="N18" s="21">
        <v>72403398</v>
      </c>
      <c r="O18" s="21" t="s">
        <v>238</v>
      </c>
      <c r="P18" s="21">
        <v>72504416</v>
      </c>
      <c r="Q18" s="21" t="s">
        <v>239</v>
      </c>
    </row>
    <row r="19" spans="1:17" x14ac:dyDescent="0.25">
      <c r="A19" s="21">
        <v>18</v>
      </c>
      <c r="B19" s="21" t="str">
        <f>VLOOKUP(A19,BASE_COMPONENTES!$A$2:$G$62,6,FALSE)</f>
        <v>CAJA DE GIRO DELANTERO</v>
      </c>
      <c r="C19" s="16"/>
      <c r="D19" s="16">
        <v>246575.83</v>
      </c>
      <c r="F19" s="21" t="s">
        <v>228</v>
      </c>
      <c r="G19" s="21">
        <v>0</v>
      </c>
      <c r="H19" s="21">
        <v>60</v>
      </c>
      <c r="I19" s="21" t="s">
        <v>241</v>
      </c>
      <c r="J19" s="21">
        <v>72403348</v>
      </c>
      <c r="K19" s="21" t="s">
        <v>240</v>
      </c>
      <c r="L19" s="21">
        <v>72403348</v>
      </c>
      <c r="M19" s="21" t="s">
        <v>240</v>
      </c>
      <c r="N19" s="21">
        <v>72403398</v>
      </c>
      <c r="O19" s="21" t="s">
        <v>238</v>
      </c>
      <c r="P19" s="21">
        <v>72504416</v>
      </c>
      <c r="Q19" s="21" t="s">
        <v>239</v>
      </c>
    </row>
    <row r="20" spans="1:17" x14ac:dyDescent="0.25">
      <c r="A20" s="21">
        <v>19</v>
      </c>
      <c r="B20" s="21" t="str">
        <f>VLOOKUP(A20,BASE_COMPONENTES!$A$2:$G$62,6,FALSE)</f>
        <v>EJE DE GIRO DELANTERO</v>
      </c>
      <c r="C20" s="16">
        <v>111515.88</v>
      </c>
      <c r="E20" s="16">
        <v>56297.919999999998</v>
      </c>
      <c r="F20" s="21" t="s">
        <v>228</v>
      </c>
      <c r="G20" s="21">
        <v>0</v>
      </c>
      <c r="H20" s="21">
        <v>0</v>
      </c>
      <c r="I20" s="21" t="s">
        <v>241</v>
      </c>
      <c r="J20" s="21">
        <v>72403348</v>
      </c>
      <c r="K20" s="21" t="s">
        <v>240</v>
      </c>
      <c r="L20" s="21">
        <v>72403348</v>
      </c>
      <c r="M20" s="21" t="s">
        <v>240</v>
      </c>
      <c r="N20" s="21">
        <v>72403398</v>
      </c>
      <c r="O20" s="21" t="s">
        <v>238</v>
      </c>
      <c r="P20" s="21">
        <v>72504416</v>
      </c>
      <c r="Q20" s="21" t="s">
        <v>239</v>
      </c>
    </row>
    <row r="21" spans="1:17" x14ac:dyDescent="0.25">
      <c r="A21" s="21">
        <v>20</v>
      </c>
      <c r="B21" s="21" t="str">
        <f>VLOOKUP(A21,BASE_COMPONENTES!$A$2:$G$62,6,FALSE)</f>
        <v>FRENO DE GIRO DELANTERO</v>
      </c>
      <c r="C21" s="16"/>
      <c r="E21" s="16">
        <v>7936.58</v>
      </c>
      <c r="F21" s="21" t="s">
        <v>228</v>
      </c>
      <c r="G21" s="21">
        <v>0</v>
      </c>
      <c r="H21" s="21">
        <v>0</v>
      </c>
      <c r="I21" s="21" t="s">
        <v>237</v>
      </c>
      <c r="J21" s="21">
        <v>72403348</v>
      </c>
      <c r="K21" s="21" t="s">
        <v>240</v>
      </c>
      <c r="L21" s="21">
        <v>72403348</v>
      </c>
      <c r="M21" s="21" t="s">
        <v>240</v>
      </c>
      <c r="N21" s="21">
        <v>72403398</v>
      </c>
      <c r="O21" s="21" t="s">
        <v>238</v>
      </c>
      <c r="P21" s="21">
        <v>72504416</v>
      </c>
      <c r="Q21" s="21" t="s">
        <v>239</v>
      </c>
    </row>
    <row r="22" spans="1:17" x14ac:dyDescent="0.25">
      <c r="A22" s="21">
        <v>21</v>
      </c>
      <c r="B22" s="21" t="str">
        <f>VLOOKUP(A22,BASE_COMPONENTES!$A$2:$G$62,6,FALSE)</f>
        <v>PIN CENTRAL DE TORNAMESA</v>
      </c>
      <c r="C22" s="16">
        <v>0</v>
      </c>
      <c r="D22" s="16"/>
      <c r="F22" s="21" t="s">
        <v>228</v>
      </c>
      <c r="G22" s="21">
        <v>0</v>
      </c>
      <c r="H22" s="21">
        <v>0</v>
      </c>
      <c r="I22" s="21" t="s">
        <v>241</v>
      </c>
      <c r="J22" s="21">
        <v>72403348</v>
      </c>
      <c r="K22" s="21" t="s">
        <v>240</v>
      </c>
      <c r="L22" s="21">
        <v>72403348</v>
      </c>
      <c r="M22" s="21" t="s">
        <v>240</v>
      </c>
      <c r="N22" s="21">
        <v>72403398</v>
      </c>
      <c r="O22" s="21" t="s">
        <v>238</v>
      </c>
      <c r="P22" s="21">
        <v>72504416</v>
      </c>
      <c r="Q22" s="21" t="s">
        <v>239</v>
      </c>
    </row>
    <row r="23" spans="1:17" x14ac:dyDescent="0.25">
      <c r="A23" s="21">
        <v>22</v>
      </c>
      <c r="B23" s="21" t="str">
        <f>VLOOKUP(A23,BASE_COMPONENTES!$A$2:$G$62,6,FALSE)</f>
        <v>RODILLOS DE TORNAMESA</v>
      </c>
      <c r="C23" s="16">
        <v>0</v>
      </c>
      <c r="D23" s="16"/>
      <c r="F23" s="21" t="s">
        <v>228</v>
      </c>
      <c r="G23" s="21">
        <v>0</v>
      </c>
      <c r="H23" s="21">
        <v>0</v>
      </c>
      <c r="I23" s="21" t="s">
        <v>241</v>
      </c>
      <c r="J23" s="21">
        <v>72403348</v>
      </c>
      <c r="K23" s="21" t="s">
        <v>240</v>
      </c>
      <c r="L23" s="21">
        <v>72403348</v>
      </c>
      <c r="M23" s="21" t="s">
        <v>240</v>
      </c>
      <c r="N23" s="21">
        <v>72403398</v>
      </c>
      <c r="O23" s="21" t="s">
        <v>238</v>
      </c>
      <c r="P23" s="21">
        <v>72504416</v>
      </c>
      <c r="Q23" s="21" t="s">
        <v>239</v>
      </c>
    </row>
    <row r="24" spans="1:17" x14ac:dyDescent="0.25">
      <c r="A24" s="21">
        <v>23</v>
      </c>
      <c r="B24" s="21" t="str">
        <f>VLOOKUP(A24,BASE_COMPONENTES!$A$2:$G$62,6,FALSE)</f>
        <v>ENGRANAJE DE TORNAMEZA</v>
      </c>
      <c r="C24" s="16">
        <v>0</v>
      </c>
      <c r="D24" s="16"/>
      <c r="F24" s="21" t="s">
        <v>228</v>
      </c>
      <c r="G24" s="21">
        <v>0</v>
      </c>
      <c r="H24" s="21">
        <v>0</v>
      </c>
      <c r="I24" s="21" t="s">
        <v>241</v>
      </c>
      <c r="J24" s="21">
        <v>72403348</v>
      </c>
      <c r="K24" s="21" t="s">
        <v>240</v>
      </c>
      <c r="L24" s="21">
        <v>72403348</v>
      </c>
      <c r="M24" s="21" t="s">
        <v>240</v>
      </c>
      <c r="N24" s="21">
        <v>72403398</v>
      </c>
      <c r="O24" s="21" t="s">
        <v>238</v>
      </c>
      <c r="P24" s="21">
        <v>72504416</v>
      </c>
      <c r="Q24" s="21" t="s">
        <v>239</v>
      </c>
    </row>
    <row r="25" spans="1:17" x14ac:dyDescent="0.25">
      <c r="A25" s="21">
        <v>24</v>
      </c>
      <c r="B25" s="21" t="str">
        <f>VLOOKUP(A25,BASE_COMPONENTES!$A$2:$G$62,6,FALSE)</f>
        <v>AJUSTE TUERCA PIN CENTRAL</v>
      </c>
      <c r="C25" s="16">
        <v>0</v>
      </c>
      <c r="D25" s="16"/>
      <c r="F25" s="21" t="s">
        <v>228</v>
      </c>
      <c r="G25" s="21">
        <v>0</v>
      </c>
      <c r="H25" s="21">
        <v>0</v>
      </c>
      <c r="I25" s="21" t="s">
        <v>241</v>
      </c>
      <c r="J25" s="21">
        <v>72403348</v>
      </c>
      <c r="K25" s="21" t="s">
        <v>240</v>
      </c>
      <c r="L25" s="21">
        <v>72403348</v>
      </c>
      <c r="M25" s="21" t="s">
        <v>240</v>
      </c>
      <c r="N25" s="21">
        <v>72403398</v>
      </c>
      <c r="O25" s="21" t="s">
        <v>238</v>
      </c>
      <c r="P25" s="21">
        <v>72504416</v>
      </c>
      <c r="Q25" s="21" t="s">
        <v>239</v>
      </c>
    </row>
    <row r="26" spans="1:17" x14ac:dyDescent="0.25">
      <c r="A26" s="21">
        <v>25</v>
      </c>
      <c r="B26" s="21" t="str">
        <f>VLOOKUP(A26,BASE_COMPONENTES!$A$2:$G$62,6,FALSE)</f>
        <v>INSP. DE AJUSTE TUERCA PIN CENTRAL</v>
      </c>
      <c r="C26" s="16">
        <v>0</v>
      </c>
      <c r="D26" s="16"/>
      <c r="F26" s="21" t="s">
        <v>228</v>
      </c>
      <c r="G26" s="21">
        <v>0</v>
      </c>
      <c r="H26" s="21">
        <v>0</v>
      </c>
      <c r="I26" s="21" t="s">
        <v>237</v>
      </c>
      <c r="J26" s="21">
        <v>72403348</v>
      </c>
      <c r="K26" s="21" t="s">
        <v>240</v>
      </c>
      <c r="L26" s="21">
        <v>72403348</v>
      </c>
      <c r="M26" s="21" t="s">
        <v>240</v>
      </c>
      <c r="N26" s="21">
        <v>72403398</v>
      </c>
      <c r="O26" s="21" t="s">
        <v>238</v>
      </c>
      <c r="P26" s="21">
        <v>72504416</v>
      </c>
      <c r="Q26" s="21" t="s">
        <v>239</v>
      </c>
    </row>
    <row r="27" spans="1:17" x14ac:dyDescent="0.25">
      <c r="A27" s="23">
        <v>26</v>
      </c>
      <c r="B27" s="21" t="str">
        <f>VLOOKUP(A27,BASE_COMPONENTES!$A$2:$G$62,6,FALSE)</f>
        <v>CAJA DE IZAR</v>
      </c>
      <c r="C27" s="16"/>
      <c r="E27" s="16">
        <v>278998.71000000002</v>
      </c>
      <c r="F27" s="21" t="s">
        <v>228</v>
      </c>
      <c r="G27" s="21">
        <v>0</v>
      </c>
      <c r="H27" s="21">
        <v>0</v>
      </c>
      <c r="I27" s="21" t="s">
        <v>237</v>
      </c>
      <c r="J27" s="21">
        <v>72403348</v>
      </c>
      <c r="K27" s="21" t="s">
        <v>240</v>
      </c>
      <c r="L27" s="21">
        <v>72403348</v>
      </c>
      <c r="M27" s="21" t="s">
        <v>240</v>
      </c>
      <c r="N27" s="21">
        <v>72403398</v>
      </c>
      <c r="O27" s="21" t="s">
        <v>238</v>
      </c>
      <c r="P27" s="21">
        <v>72504416</v>
      </c>
      <c r="Q27" s="21" t="s">
        <v>239</v>
      </c>
    </row>
    <row r="28" spans="1:17" x14ac:dyDescent="0.25">
      <c r="A28" s="21">
        <v>27</v>
      </c>
      <c r="B28" s="21" t="str">
        <f>VLOOKUP(A28,BASE_COMPONENTES!$A$2:$G$62,6,FALSE)</f>
        <v>BOMBA ACEITE CAJA IZAR</v>
      </c>
      <c r="C28" s="16">
        <v>29594.93</v>
      </c>
      <c r="D28" s="16"/>
      <c r="F28" s="21" t="s">
        <v>228</v>
      </c>
      <c r="G28" s="21">
        <v>0</v>
      </c>
      <c r="H28" s="21">
        <v>0</v>
      </c>
      <c r="I28" s="21" t="s">
        <v>241</v>
      </c>
      <c r="J28" s="21">
        <v>72403348</v>
      </c>
      <c r="K28" s="21" t="s">
        <v>240</v>
      </c>
      <c r="L28" s="21">
        <v>72403348</v>
      </c>
      <c r="M28" s="21" t="s">
        <v>240</v>
      </c>
      <c r="N28" s="21">
        <v>72403398</v>
      </c>
      <c r="O28" s="21" t="s">
        <v>238</v>
      </c>
      <c r="P28" s="21">
        <v>72504416</v>
      </c>
      <c r="Q28" s="21" t="s">
        <v>239</v>
      </c>
    </row>
    <row r="29" spans="1:17" x14ac:dyDescent="0.25">
      <c r="A29" s="21">
        <v>28</v>
      </c>
      <c r="B29" s="21" t="str">
        <f>VLOOKUP(A29,BASE_COMPONENTES!$A$2:$G$62,6,FALSE)</f>
        <v>TAMBOR DE IZAR</v>
      </c>
      <c r="C29" s="16">
        <v>1250022</v>
      </c>
      <c r="D29" s="16">
        <v>340389.81</v>
      </c>
      <c r="F29" s="21" t="s">
        <v>228</v>
      </c>
      <c r="G29" s="21">
        <v>0</v>
      </c>
      <c r="H29" s="21">
        <v>120</v>
      </c>
      <c r="I29" s="21" t="s">
        <v>241</v>
      </c>
      <c r="J29" s="21">
        <v>72403348</v>
      </c>
      <c r="K29" s="21" t="s">
        <v>240</v>
      </c>
      <c r="L29" s="21">
        <v>72403348</v>
      </c>
      <c r="M29" s="21" t="s">
        <v>240</v>
      </c>
      <c r="N29" s="21">
        <v>72403398</v>
      </c>
      <c r="O29" s="21" t="s">
        <v>238</v>
      </c>
      <c r="P29" s="21">
        <v>72504416</v>
      </c>
      <c r="Q29" s="21" t="s">
        <v>239</v>
      </c>
    </row>
    <row r="30" spans="1:17" x14ac:dyDescent="0.25">
      <c r="A30" s="21">
        <v>29</v>
      </c>
      <c r="B30" s="21" t="str">
        <f>VLOOKUP(A30,BASE_COMPONENTES!$A$2:$G$62,6,FALSE)</f>
        <v>RETENES DE TAMBOR DE IZAR</v>
      </c>
      <c r="C30" s="16">
        <v>0</v>
      </c>
      <c r="D30" s="16"/>
      <c r="F30" s="21" t="s">
        <v>228</v>
      </c>
      <c r="G30" s="21">
        <v>0</v>
      </c>
      <c r="H30" s="21">
        <v>0</v>
      </c>
      <c r="I30" s="21" t="s">
        <v>241</v>
      </c>
      <c r="J30" s="21">
        <v>72403348</v>
      </c>
      <c r="K30" s="21" t="s">
        <v>240</v>
      </c>
      <c r="L30" s="21">
        <v>72403348</v>
      </c>
      <c r="M30" s="21" t="s">
        <v>240</v>
      </c>
      <c r="N30" s="21">
        <v>72403398</v>
      </c>
      <c r="O30" s="21" t="s">
        <v>238</v>
      </c>
      <c r="P30" s="21">
        <v>72504416</v>
      </c>
      <c r="Q30" s="21" t="s">
        <v>239</v>
      </c>
    </row>
    <row r="31" spans="1:17" x14ac:dyDescent="0.25">
      <c r="A31" s="23">
        <v>30</v>
      </c>
      <c r="B31" s="21" t="str">
        <f>VLOOKUP(A31,BASE_COMPONENTES!$A$2:$G$62,6,FALSE)</f>
        <v>PLUMA</v>
      </c>
      <c r="C31" s="16"/>
      <c r="D31">
        <v>85000</v>
      </c>
      <c r="E31" s="16">
        <v>158691.91</v>
      </c>
      <c r="F31" s="21" t="s">
        <v>228</v>
      </c>
      <c r="G31" s="21">
        <v>0</v>
      </c>
      <c r="H31" s="21">
        <v>45</v>
      </c>
      <c r="I31" s="21" t="s">
        <v>237</v>
      </c>
      <c r="J31" s="21">
        <v>72403348</v>
      </c>
      <c r="K31" s="21" t="s">
        <v>240</v>
      </c>
      <c r="L31" s="21">
        <v>72403348</v>
      </c>
      <c r="M31" s="21" t="s">
        <v>240</v>
      </c>
      <c r="N31" s="21">
        <v>72403398</v>
      </c>
      <c r="O31" s="21" t="s">
        <v>238</v>
      </c>
      <c r="P31" s="21">
        <v>72504416</v>
      </c>
      <c r="Q31" s="21" t="s">
        <v>239</v>
      </c>
    </row>
    <row r="32" spans="1:17" x14ac:dyDescent="0.25">
      <c r="A32" s="23">
        <v>31</v>
      </c>
      <c r="B32" s="21" t="str">
        <f>VLOOKUP(A32,BASE_COMPONENTES!$A$2:$G$62,6,FALSE)</f>
        <v>POLEAS DE PLUMA</v>
      </c>
      <c r="C32" s="16"/>
      <c r="D32" s="16">
        <v>140797.20000000001</v>
      </c>
      <c r="F32" s="21" t="s">
        <v>228</v>
      </c>
      <c r="G32" s="21">
        <v>0</v>
      </c>
      <c r="H32" s="21">
        <v>90</v>
      </c>
      <c r="I32" s="21" t="s">
        <v>241</v>
      </c>
      <c r="J32" s="21">
        <v>72403348</v>
      </c>
      <c r="K32" s="21" t="s">
        <v>240</v>
      </c>
      <c r="L32" s="21">
        <v>72403348</v>
      </c>
      <c r="M32" s="21" t="s">
        <v>240</v>
      </c>
      <c r="N32" s="21">
        <v>72403398</v>
      </c>
      <c r="O32" s="21" t="s">
        <v>238</v>
      </c>
      <c r="P32" s="21">
        <v>72504416</v>
      </c>
      <c r="Q32" s="21" t="s">
        <v>239</v>
      </c>
    </row>
    <row r="33" spans="1:17" x14ac:dyDescent="0.25">
      <c r="A33" s="21">
        <v>32</v>
      </c>
      <c r="B33" s="21" t="str">
        <f>VLOOKUP(A33,BASE_COMPONENTES!$A$2:$G$62,6,FALSE)</f>
        <v>CABLES DE SUSPENSION</v>
      </c>
      <c r="C33" s="16">
        <v>113844.2</v>
      </c>
      <c r="D33" s="16"/>
      <c r="F33" s="21" t="s">
        <v>228</v>
      </c>
      <c r="G33" s="21">
        <v>0</v>
      </c>
      <c r="H33" s="21">
        <v>0</v>
      </c>
      <c r="I33" s="21" t="s">
        <v>241</v>
      </c>
      <c r="J33" s="21">
        <v>72403348</v>
      </c>
      <c r="K33" s="21" t="s">
        <v>240</v>
      </c>
      <c r="L33" s="21">
        <v>72403348</v>
      </c>
      <c r="M33" s="21" t="s">
        <v>240</v>
      </c>
      <c r="N33" s="21">
        <v>72403398</v>
      </c>
      <c r="O33" s="21" t="s">
        <v>238</v>
      </c>
      <c r="P33" s="21">
        <v>72504416</v>
      </c>
      <c r="Q33" s="21" t="s">
        <v>239</v>
      </c>
    </row>
    <row r="34" spans="1:17" x14ac:dyDescent="0.25">
      <c r="A34" s="21">
        <v>33</v>
      </c>
      <c r="B34" s="21" t="str">
        <f>VLOOKUP(A34,BASE_COMPONENTES!$A$2:$G$62,6,FALSE)</f>
        <v>CABLES DE IZAR</v>
      </c>
      <c r="C34" s="16">
        <v>0</v>
      </c>
      <c r="D34" s="16"/>
      <c r="F34" s="21" t="s">
        <v>228</v>
      </c>
      <c r="G34" s="21">
        <v>0</v>
      </c>
      <c r="H34" s="21">
        <v>0</v>
      </c>
      <c r="I34" s="21" t="s">
        <v>241</v>
      </c>
      <c r="J34" s="21">
        <v>72403348</v>
      </c>
      <c r="K34" s="21" t="s">
        <v>240</v>
      </c>
      <c r="L34" s="21">
        <v>72403348</v>
      </c>
      <c r="M34" s="21" t="s">
        <v>240</v>
      </c>
      <c r="N34" s="21">
        <v>72403398</v>
      </c>
      <c r="O34" s="21" t="s">
        <v>238</v>
      </c>
      <c r="P34" s="21">
        <v>72504416</v>
      </c>
      <c r="Q34" s="21" t="s">
        <v>239</v>
      </c>
    </row>
    <row r="35" spans="1:17" x14ac:dyDescent="0.25">
      <c r="A35" s="23">
        <v>34</v>
      </c>
      <c r="B35" s="21" t="str">
        <f>VLOOKUP(A35,BASE_COMPONENTES!$A$2:$G$62,6,FALSE)</f>
        <v>FRENO DE IZAR DELANTERO</v>
      </c>
      <c r="C35" s="16"/>
      <c r="E35" s="16">
        <v>18803.53</v>
      </c>
      <c r="F35" s="21" t="s">
        <v>228</v>
      </c>
      <c r="G35" s="21">
        <v>0</v>
      </c>
      <c r="H35" s="21">
        <v>0</v>
      </c>
      <c r="I35" s="21" t="s">
        <v>237</v>
      </c>
      <c r="J35" s="21">
        <v>72403348</v>
      </c>
      <c r="K35" s="21" t="s">
        <v>240</v>
      </c>
      <c r="L35" s="21">
        <v>72403348</v>
      </c>
      <c r="M35" s="21" t="s">
        <v>240</v>
      </c>
      <c r="N35" s="21">
        <v>72403398</v>
      </c>
      <c r="O35" s="21" t="s">
        <v>238</v>
      </c>
      <c r="P35" s="21">
        <v>72504416</v>
      </c>
      <c r="Q35" s="21" t="s">
        <v>239</v>
      </c>
    </row>
    <row r="36" spans="1:17" x14ac:dyDescent="0.25">
      <c r="A36" s="23">
        <v>35</v>
      </c>
      <c r="B36" s="21" t="str">
        <f>VLOOKUP(A36,BASE_COMPONENTES!$A$2:$G$62,6,FALSE)</f>
        <v>BOMBA DE GRASA 1 GBLANCA UP</v>
      </c>
      <c r="C36" s="16">
        <v>4019.8</v>
      </c>
      <c r="D36" s="16">
        <v>1004.95</v>
      </c>
      <c r="F36" s="21" t="s">
        <v>228</v>
      </c>
      <c r="G36" s="21">
        <v>0</v>
      </c>
      <c r="H36" s="21">
        <v>0</v>
      </c>
      <c r="I36" s="21" t="s">
        <v>241</v>
      </c>
      <c r="J36" s="21">
        <v>72403348</v>
      </c>
      <c r="K36" s="21" t="s">
        <v>240</v>
      </c>
      <c r="L36" s="21">
        <v>72403348</v>
      </c>
      <c r="M36" s="21" t="s">
        <v>240</v>
      </c>
      <c r="N36" s="21">
        <v>72403398</v>
      </c>
      <c r="O36" s="21" t="s">
        <v>238</v>
      </c>
      <c r="P36" s="21">
        <v>72504416</v>
      </c>
      <c r="Q36" s="21" t="s">
        <v>239</v>
      </c>
    </row>
    <row r="37" spans="1:17" x14ac:dyDescent="0.25">
      <c r="A37" s="23">
        <v>36</v>
      </c>
      <c r="B37" s="21" t="str">
        <f>VLOOKUP(A37,BASE_COMPONENTES!$A$2:$G$62,6,FALSE)</f>
        <v>CAJA DE AVANCE DERECHA</v>
      </c>
      <c r="C37" s="16"/>
      <c r="D37" s="16">
        <v>300000</v>
      </c>
      <c r="F37" s="21" t="s">
        <v>228</v>
      </c>
      <c r="G37" s="21">
        <v>0</v>
      </c>
      <c r="H37" s="21">
        <v>60</v>
      </c>
      <c r="I37" s="21" t="s">
        <v>241</v>
      </c>
      <c r="J37" s="21">
        <v>72403348</v>
      </c>
      <c r="K37" s="21" t="s">
        <v>240</v>
      </c>
      <c r="L37" s="21">
        <v>72403348</v>
      </c>
      <c r="M37" s="21" t="s">
        <v>240</v>
      </c>
      <c r="N37" s="21">
        <v>72403398</v>
      </c>
      <c r="O37" s="21" t="s">
        <v>238</v>
      </c>
      <c r="P37" s="21">
        <v>72504416</v>
      </c>
      <c r="Q37" s="21" t="s">
        <v>239</v>
      </c>
    </row>
    <row r="38" spans="1:17" x14ac:dyDescent="0.25">
      <c r="A38" s="23">
        <v>37</v>
      </c>
      <c r="B38" s="21" t="str">
        <f>VLOOKUP(A38,BASE_COMPONENTES!$A$2:$G$62,6,FALSE)</f>
        <v>FRENO DE AVANCE DERECHO</v>
      </c>
      <c r="C38" s="16"/>
      <c r="E38" s="16">
        <v>9015.43</v>
      </c>
      <c r="F38" s="21" t="s">
        <v>228</v>
      </c>
      <c r="G38" s="21">
        <v>0</v>
      </c>
      <c r="H38" s="21">
        <v>0</v>
      </c>
      <c r="I38" s="21" t="s">
        <v>237</v>
      </c>
      <c r="J38" s="21">
        <v>72403348</v>
      </c>
      <c r="K38" s="21" t="s">
        <v>240</v>
      </c>
      <c r="L38" s="21">
        <v>72403348</v>
      </c>
      <c r="M38" s="21" t="s">
        <v>240</v>
      </c>
      <c r="N38" s="21">
        <v>72403398</v>
      </c>
      <c r="O38" s="21" t="s">
        <v>238</v>
      </c>
      <c r="P38" s="21">
        <v>72504416</v>
      </c>
      <c r="Q38" s="21" t="s">
        <v>239</v>
      </c>
    </row>
    <row r="39" spans="1:17" x14ac:dyDescent="0.25">
      <c r="A39" s="23">
        <v>38</v>
      </c>
      <c r="B39" s="21" t="str">
        <f>VLOOKUP(A39,BASE_COMPONENTES!$A$2:$G$62,6,FALSE)</f>
        <v>TUMBLER DERECHO</v>
      </c>
      <c r="C39" s="16">
        <v>139000</v>
      </c>
      <c r="D39" s="16">
        <v>27973.68</v>
      </c>
      <c r="F39" s="21" t="s">
        <v>228</v>
      </c>
      <c r="G39" s="21">
        <v>0</v>
      </c>
      <c r="H39" s="21">
        <v>0</v>
      </c>
      <c r="I39" s="21" t="s">
        <v>241</v>
      </c>
      <c r="J39" s="21">
        <v>72403348</v>
      </c>
      <c r="K39" s="21" t="s">
        <v>240</v>
      </c>
      <c r="L39" s="21">
        <v>72403348</v>
      </c>
      <c r="M39" s="21" t="s">
        <v>240</v>
      </c>
      <c r="N39" s="21">
        <v>72403398</v>
      </c>
      <c r="O39" s="21" t="s">
        <v>238</v>
      </c>
      <c r="P39" s="21">
        <v>72504416</v>
      </c>
      <c r="Q39" s="21" t="s">
        <v>239</v>
      </c>
    </row>
    <row r="40" spans="1:17" x14ac:dyDescent="0.25">
      <c r="A40" s="21">
        <v>39</v>
      </c>
      <c r="B40" s="21" t="str">
        <f>VLOOKUP(A40,BASE_COMPONENTES!$A$2:$G$62,6,FALSE)</f>
        <v>EJE DE AVANCE DERECHO</v>
      </c>
      <c r="C40" s="16">
        <v>52144.986486486487</v>
      </c>
      <c r="D40" s="16"/>
      <c r="F40" s="21" t="s">
        <v>228</v>
      </c>
      <c r="G40" s="21">
        <v>0</v>
      </c>
      <c r="H40" s="21">
        <v>0</v>
      </c>
      <c r="I40" s="21" t="s">
        <v>237</v>
      </c>
      <c r="J40" s="21">
        <v>72403348</v>
      </c>
      <c r="K40" s="21" t="s">
        <v>240</v>
      </c>
      <c r="L40" s="21">
        <v>72403348</v>
      </c>
      <c r="M40" s="21" t="s">
        <v>240</v>
      </c>
      <c r="N40" s="21">
        <v>72403398</v>
      </c>
      <c r="O40" s="21" t="s">
        <v>238</v>
      </c>
      <c r="P40" s="21">
        <v>72504416</v>
      </c>
      <c r="Q40" s="21" t="s">
        <v>239</v>
      </c>
    </row>
    <row r="41" spans="1:17" x14ac:dyDescent="0.25">
      <c r="A41" s="23">
        <v>40</v>
      </c>
      <c r="B41" s="21" t="str">
        <f>VLOOKUP(A41,BASE_COMPONENTES!$A$2:$G$62,6,FALSE)</f>
        <v>RUEDA GUIA DERECHA</v>
      </c>
      <c r="C41" s="19">
        <v>36760.57</v>
      </c>
      <c r="E41" s="16">
        <v>84097.4</v>
      </c>
      <c r="F41" s="21" t="s">
        <v>228</v>
      </c>
      <c r="G41" s="21">
        <v>0</v>
      </c>
      <c r="H41" s="21">
        <v>0</v>
      </c>
      <c r="I41" s="21" t="s">
        <v>237</v>
      </c>
      <c r="J41" s="21">
        <v>72403348</v>
      </c>
      <c r="K41" s="21" t="s">
        <v>240</v>
      </c>
      <c r="L41" s="21">
        <v>72403348</v>
      </c>
      <c r="M41" s="21" t="s">
        <v>240</v>
      </c>
      <c r="N41" s="21">
        <v>72403398</v>
      </c>
      <c r="O41" s="21" t="s">
        <v>238</v>
      </c>
      <c r="P41" s="21">
        <v>72504416</v>
      </c>
      <c r="Q41" s="21" t="s">
        <v>239</v>
      </c>
    </row>
    <row r="42" spans="1:17" x14ac:dyDescent="0.25">
      <c r="A42" s="21">
        <v>41</v>
      </c>
      <c r="B42" s="21" t="str">
        <f>VLOOKUP(A42,BASE_COMPONENTES!$A$2:$G$62,6,FALSE)</f>
        <v>RODILLOS BASTIDOR DERECHO</v>
      </c>
      <c r="C42" s="16">
        <v>159300.54</v>
      </c>
      <c r="D42" s="20"/>
      <c r="F42" s="21" t="s">
        <v>228</v>
      </c>
      <c r="G42" s="21">
        <v>0</v>
      </c>
      <c r="H42" s="21">
        <v>0</v>
      </c>
      <c r="I42" s="21" t="s">
        <v>241</v>
      </c>
      <c r="J42" s="21">
        <v>72403348</v>
      </c>
      <c r="K42" s="21" t="s">
        <v>240</v>
      </c>
      <c r="L42" s="21">
        <v>72403348</v>
      </c>
      <c r="M42" s="21" t="s">
        <v>240</v>
      </c>
      <c r="N42" s="21">
        <v>72403398</v>
      </c>
      <c r="O42" s="21" t="s">
        <v>238</v>
      </c>
      <c r="P42" s="21">
        <v>72504416</v>
      </c>
      <c r="Q42" s="21" t="s">
        <v>239</v>
      </c>
    </row>
    <row r="43" spans="1:17" x14ac:dyDescent="0.25">
      <c r="A43" s="21">
        <v>42</v>
      </c>
      <c r="B43" s="21" t="str">
        <f>VLOOKUP(A43,BASE_COMPONENTES!$A$2:$G$62,6,FALSE)</f>
        <v>RODILLO AUXILIAR DERECHO</v>
      </c>
      <c r="C43" s="16">
        <v>28152.95</v>
      </c>
      <c r="D43" s="20"/>
      <c r="F43" s="21" t="s">
        <v>228</v>
      </c>
      <c r="G43" s="21">
        <v>0</v>
      </c>
      <c r="H43" s="21">
        <v>0</v>
      </c>
      <c r="I43" s="21" t="s">
        <v>241</v>
      </c>
      <c r="J43" s="21">
        <v>72403348</v>
      </c>
      <c r="K43" s="21" t="s">
        <v>240</v>
      </c>
      <c r="L43" s="21">
        <v>72403348</v>
      </c>
      <c r="M43" s="21" t="s">
        <v>240</v>
      </c>
      <c r="N43" s="21">
        <v>72403398</v>
      </c>
      <c r="O43" s="21" t="s">
        <v>238</v>
      </c>
      <c r="P43" s="21">
        <v>72504416</v>
      </c>
      <c r="Q43" s="21" t="s">
        <v>239</v>
      </c>
    </row>
    <row r="44" spans="1:17" x14ac:dyDescent="0.25">
      <c r="A44" s="21">
        <v>43</v>
      </c>
      <c r="B44" s="21" t="str">
        <f>VLOOKUP(A44,BASE_COMPONENTES!$A$2:$G$62,6,FALSE)</f>
        <v>ZAPATAS DE BASTIDOR DERECHO</v>
      </c>
      <c r="C44" s="16">
        <v>592704.1</v>
      </c>
      <c r="D44" s="20"/>
      <c r="F44" s="21" t="s">
        <v>228</v>
      </c>
      <c r="G44" s="21">
        <v>0</v>
      </c>
      <c r="H44" s="21">
        <v>0</v>
      </c>
      <c r="I44" s="21" t="s">
        <v>241</v>
      </c>
      <c r="J44" s="21">
        <v>72403348</v>
      </c>
      <c r="K44" s="21" t="s">
        <v>240</v>
      </c>
      <c r="L44" s="21">
        <v>72403348</v>
      </c>
      <c r="M44" s="21" t="s">
        <v>240</v>
      </c>
      <c r="N44" s="21">
        <v>72403398</v>
      </c>
      <c r="O44" s="21" t="s">
        <v>238</v>
      </c>
      <c r="P44" s="21">
        <v>72504416</v>
      </c>
      <c r="Q44" s="21" t="s">
        <v>239</v>
      </c>
    </row>
    <row r="45" spans="1:17" x14ac:dyDescent="0.25">
      <c r="A45" s="23">
        <v>44</v>
      </c>
      <c r="B45" s="21" t="str">
        <f>VLOOKUP(A45,BASE_COMPONENTES!$A$2:$G$62,6,FALSE)</f>
        <v>COMPRESOR DE AIRE</v>
      </c>
      <c r="C45" s="20"/>
      <c r="D45" s="16">
        <v>13500</v>
      </c>
      <c r="F45" s="21" t="s">
        <v>228</v>
      </c>
      <c r="G45" s="21">
        <v>0</v>
      </c>
      <c r="H45" s="21">
        <v>60</v>
      </c>
      <c r="I45" s="21" t="s">
        <v>241</v>
      </c>
      <c r="J45" s="21">
        <v>72403348</v>
      </c>
      <c r="K45" s="21" t="s">
        <v>240</v>
      </c>
      <c r="L45" s="21">
        <v>72403348</v>
      </c>
      <c r="M45" s="21" t="s">
        <v>240</v>
      </c>
      <c r="N45" s="21">
        <v>72403398</v>
      </c>
      <c r="O45" s="21" t="s">
        <v>238</v>
      </c>
      <c r="P45" s="21">
        <v>72504416</v>
      </c>
      <c r="Q45" s="21" t="s">
        <v>239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73471c9-42e1-48a6-bea0-fb25f522e034}" enabled="0" method="" siteId="{773471c9-42e1-48a6-bea0-fb25f522e0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Relación Componentes PAT1</vt:lpstr>
      <vt:lpstr>BASE_COMPONENTES</vt:lpstr>
      <vt:lpstr>BASE_COSTOS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Roman, Rodrigo</dc:creator>
  <cp:lastModifiedBy>Roman, Rodrigo</cp:lastModifiedBy>
  <dcterms:created xsi:type="dcterms:W3CDTF">2026-06-27T21:01:38Z</dcterms:created>
  <dcterms:modified xsi:type="dcterms:W3CDTF">2026-06-28T22:23:46Z</dcterms:modified>
</cp:coreProperties>
</file>